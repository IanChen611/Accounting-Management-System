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hom\Downloads\"/>
    </mc:Choice>
  </mc:AlternateContent>
  <xr:revisionPtr revIDLastSave="0" documentId="13_ncr:1_{34A57A9E-C235-41DD-903B-DE92DAC630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空白表格" sheetId="1" r:id="rId1"/>
    <sheet name="1112" sheetId="13" r:id="rId2"/>
    <sheet name="0910" sheetId="12" r:id="rId3"/>
    <sheet name="0708" sheetId="11" r:id="rId4"/>
    <sheet name="0506" sheetId="10" r:id="rId5"/>
    <sheet name="0304" sheetId="9" r:id="rId6"/>
    <sheet name="0102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iMzXqKWab8XfsJhSOjGzxtNB3bNA=="/>
    </ext>
  </extLst>
</workbook>
</file>

<file path=xl/calcChain.xml><?xml version="1.0" encoding="utf-8"?>
<calcChain xmlns="http://schemas.openxmlformats.org/spreadsheetml/2006/main">
  <c r="AE53" i="13" l="1"/>
  <c r="I55" i="13"/>
  <c r="G16" i="13"/>
  <c r="G15" i="13"/>
  <c r="H15" i="13" s="1"/>
  <c r="F12" i="13"/>
  <c r="R53" i="13"/>
  <c r="R52" i="13"/>
  <c r="R42" i="13"/>
  <c r="R41" i="13"/>
  <c r="R32" i="13"/>
  <c r="R31" i="13"/>
  <c r="R30" i="13"/>
  <c r="R29" i="13"/>
  <c r="Q28" i="13"/>
  <c r="R17" i="13"/>
  <c r="R16" i="13"/>
  <c r="S16" i="13" s="1"/>
  <c r="R12" i="13"/>
  <c r="R11" i="13"/>
  <c r="R4" i="13"/>
  <c r="R5" i="13"/>
  <c r="R6" i="13"/>
  <c r="AB5" i="13"/>
  <c r="AB4" i="13"/>
  <c r="G6" i="13"/>
  <c r="G5" i="13"/>
  <c r="H5" i="13" s="1"/>
  <c r="G61" i="13"/>
  <c r="H61" i="13" s="1"/>
  <c r="I61" i="13" s="1"/>
  <c r="G60" i="13"/>
  <c r="H60" i="13" s="1"/>
  <c r="I60" i="13" s="1"/>
  <c r="G59" i="13"/>
  <c r="H59" i="13" s="1"/>
  <c r="I59" i="13" s="1"/>
  <c r="G58" i="13"/>
  <c r="H58" i="13" s="1"/>
  <c r="I58" i="13" s="1"/>
  <c r="AC52" i="13"/>
  <c r="AD52" i="13" s="1"/>
  <c r="AC51" i="13"/>
  <c r="AD51" i="13" s="1"/>
  <c r="AC50" i="13"/>
  <c r="AD50" i="13" s="1"/>
  <c r="AE50" i="13" s="1"/>
  <c r="AC49" i="13"/>
  <c r="AD49" i="13" s="1"/>
  <c r="AC48" i="13"/>
  <c r="AD48" i="13" s="1"/>
  <c r="AC47" i="13"/>
  <c r="AD47" i="13" s="1"/>
  <c r="AE47" i="13" s="1"/>
  <c r="AC46" i="13"/>
  <c r="AD46" i="13" s="1"/>
  <c r="AC45" i="13"/>
  <c r="AD45" i="13" s="1"/>
  <c r="AC44" i="13"/>
  <c r="AD44" i="13" s="1"/>
  <c r="AE44" i="13" s="1"/>
  <c r="AC43" i="13"/>
  <c r="AD43" i="13" s="1"/>
  <c r="AC42" i="13"/>
  <c r="AD42" i="13" s="1"/>
  <c r="AC41" i="13"/>
  <c r="AD41" i="13" s="1"/>
  <c r="AE41" i="13" s="1"/>
  <c r="AC40" i="13"/>
  <c r="AD40" i="13" s="1"/>
  <c r="AC39" i="13"/>
  <c r="AD39" i="13" s="1"/>
  <c r="AC38" i="13"/>
  <c r="AD38" i="13" s="1"/>
  <c r="AE38" i="13" s="1"/>
  <c r="AC37" i="13"/>
  <c r="AD37" i="13" s="1"/>
  <c r="AC36" i="13"/>
  <c r="AD36" i="13" s="1"/>
  <c r="AC35" i="13"/>
  <c r="AD35" i="13" s="1"/>
  <c r="AE35" i="13" s="1"/>
  <c r="AC34" i="13"/>
  <c r="AD34" i="13" s="1"/>
  <c r="AC33" i="13"/>
  <c r="AD33" i="13" s="1"/>
  <c r="AC32" i="13"/>
  <c r="AD32" i="13" s="1"/>
  <c r="AE32" i="13" s="1"/>
  <c r="AC31" i="13"/>
  <c r="AD31" i="13" s="1"/>
  <c r="AC30" i="13"/>
  <c r="AD30" i="13" s="1"/>
  <c r="AC29" i="13"/>
  <c r="AD29" i="13" s="1"/>
  <c r="AE29" i="13" s="1"/>
  <c r="AC28" i="13"/>
  <c r="AD28" i="13" s="1"/>
  <c r="AC27" i="13"/>
  <c r="AD27" i="13" s="1"/>
  <c r="AC26" i="13"/>
  <c r="AD26" i="13" s="1"/>
  <c r="AE26" i="13" s="1"/>
  <c r="AC25" i="13"/>
  <c r="AD25" i="13" s="1"/>
  <c r="AC24" i="13"/>
  <c r="AD24" i="13" s="1"/>
  <c r="AC23" i="13"/>
  <c r="AD23" i="13" s="1"/>
  <c r="AE23" i="13" s="1"/>
  <c r="AC22" i="13"/>
  <c r="AD22" i="13" s="1"/>
  <c r="AC21" i="13"/>
  <c r="AD21" i="13" s="1"/>
  <c r="AC20" i="13"/>
  <c r="AD20" i="13" s="1"/>
  <c r="AE20" i="13" s="1"/>
  <c r="AC19" i="13"/>
  <c r="AD19" i="13" s="1"/>
  <c r="AE19" i="13" s="1"/>
  <c r="AF19" i="13" s="1"/>
  <c r="AC18" i="13"/>
  <c r="AD18" i="13" s="1"/>
  <c r="AC17" i="13"/>
  <c r="AD17" i="13" s="1"/>
  <c r="AE17" i="13" s="1"/>
  <c r="AC16" i="13"/>
  <c r="AD16" i="13" s="1"/>
  <c r="AC15" i="13"/>
  <c r="AD15" i="13" s="1"/>
  <c r="AC14" i="13"/>
  <c r="AD14" i="13" s="1"/>
  <c r="AE14" i="13" s="1"/>
  <c r="AC13" i="13"/>
  <c r="AD13" i="13" s="1"/>
  <c r="AC12" i="13"/>
  <c r="AD12" i="13" s="1"/>
  <c r="AC11" i="13"/>
  <c r="AD11" i="13" s="1"/>
  <c r="AE11" i="13" s="1"/>
  <c r="AC10" i="13"/>
  <c r="AD10" i="13" s="1"/>
  <c r="AE10" i="13" s="1"/>
  <c r="AF10" i="13" s="1"/>
  <c r="AC9" i="13"/>
  <c r="AD9" i="13" s="1"/>
  <c r="AC8" i="13"/>
  <c r="AD8" i="13" s="1"/>
  <c r="AE8" i="13" s="1"/>
  <c r="AC7" i="13"/>
  <c r="AD7" i="13" s="1"/>
  <c r="AC6" i="13"/>
  <c r="AD6" i="13" s="1"/>
  <c r="AD5" i="13"/>
  <c r="AE5" i="13" s="1"/>
  <c r="AD4" i="13"/>
  <c r="AC3" i="13"/>
  <c r="AD3" i="13" s="1"/>
  <c r="R61" i="13"/>
  <c r="S61" i="13" s="1"/>
  <c r="T61" i="13" s="1"/>
  <c r="U61" i="13" s="1"/>
  <c r="R60" i="13"/>
  <c r="S60" i="13" s="1"/>
  <c r="R59" i="13"/>
  <c r="S59" i="13" s="1"/>
  <c r="R58" i="13"/>
  <c r="S58" i="13" s="1"/>
  <c r="T58" i="13" s="1"/>
  <c r="U58" i="13" s="1"/>
  <c r="R57" i="13"/>
  <c r="S57" i="13" s="1"/>
  <c r="R56" i="13"/>
  <c r="S56" i="13" s="1"/>
  <c r="R55" i="13"/>
  <c r="S55" i="13" s="1"/>
  <c r="T55" i="13" s="1"/>
  <c r="U55" i="13" s="1"/>
  <c r="R54" i="13"/>
  <c r="S54" i="13" s="1"/>
  <c r="R51" i="13"/>
  <c r="S51" i="13" s="1"/>
  <c r="T51" i="13" s="1"/>
  <c r="U51" i="13" s="1"/>
  <c r="R50" i="13"/>
  <c r="S50" i="13" s="1"/>
  <c r="R49" i="13"/>
  <c r="S49" i="13" s="1"/>
  <c r="R48" i="13"/>
  <c r="S48" i="13" s="1"/>
  <c r="R47" i="13"/>
  <c r="S47" i="13" s="1"/>
  <c r="R46" i="13"/>
  <c r="S46" i="13" s="1"/>
  <c r="R45" i="13"/>
  <c r="S45" i="13" s="1"/>
  <c r="R44" i="13"/>
  <c r="S44" i="13" s="1"/>
  <c r="R43" i="13"/>
  <c r="S43" i="13" s="1"/>
  <c r="R40" i="13"/>
  <c r="S40" i="13" s="1"/>
  <c r="R39" i="13"/>
  <c r="S39" i="13" s="1"/>
  <c r="R38" i="13"/>
  <c r="S38" i="13" s="1"/>
  <c r="R37" i="13"/>
  <c r="S37" i="13" s="1"/>
  <c r="R36" i="13"/>
  <c r="S36" i="13" s="1"/>
  <c r="R35" i="13"/>
  <c r="S35" i="13" s="1"/>
  <c r="T35" i="13" s="1"/>
  <c r="U35" i="13" s="1"/>
  <c r="S34" i="13"/>
  <c r="R33" i="13"/>
  <c r="S33" i="13" s="1"/>
  <c r="S28" i="13"/>
  <c r="R27" i="13"/>
  <c r="S27" i="13" s="1"/>
  <c r="R26" i="13"/>
  <c r="S26" i="13" s="1"/>
  <c r="R25" i="13"/>
  <c r="S25" i="13" s="1"/>
  <c r="R24" i="13"/>
  <c r="S24" i="13" s="1"/>
  <c r="R23" i="13"/>
  <c r="S23" i="13" s="1"/>
  <c r="R22" i="13"/>
  <c r="S22" i="13" s="1"/>
  <c r="R21" i="13"/>
  <c r="S21" i="13" s="1"/>
  <c r="R20" i="13"/>
  <c r="S20" i="13" s="1"/>
  <c r="R19" i="13"/>
  <c r="S19" i="13" s="1"/>
  <c r="R18" i="13"/>
  <c r="S18" i="13" s="1"/>
  <c r="R15" i="13"/>
  <c r="S15" i="13" s="1"/>
  <c r="R14" i="13"/>
  <c r="S14" i="13" s="1"/>
  <c r="T14" i="13" s="1"/>
  <c r="U14" i="13" s="1"/>
  <c r="R13" i="13"/>
  <c r="S13" i="13" s="1"/>
  <c r="R10" i="13"/>
  <c r="S10" i="13" s="1"/>
  <c r="T10" i="13" s="1"/>
  <c r="U10" i="13" s="1"/>
  <c r="R9" i="13"/>
  <c r="S9" i="13" s="1"/>
  <c r="R8" i="13"/>
  <c r="S8" i="13" s="1"/>
  <c r="R3" i="13"/>
  <c r="S3" i="13" s="1"/>
  <c r="G54" i="13"/>
  <c r="H54" i="13" s="1"/>
  <c r="G53" i="13"/>
  <c r="H53" i="13" s="1"/>
  <c r="G52" i="13"/>
  <c r="H52" i="13" s="1"/>
  <c r="G51" i="13"/>
  <c r="H51" i="13" s="1"/>
  <c r="G50" i="13"/>
  <c r="H50" i="13" s="1"/>
  <c r="G49" i="13"/>
  <c r="H49" i="13" s="1"/>
  <c r="G48" i="13"/>
  <c r="H48" i="13" s="1"/>
  <c r="G47" i="13"/>
  <c r="H47" i="13" s="1"/>
  <c r="G46" i="13"/>
  <c r="H46" i="13" s="1"/>
  <c r="G45" i="13"/>
  <c r="H45" i="13" s="1"/>
  <c r="G44" i="13"/>
  <c r="H44" i="13" s="1"/>
  <c r="G43" i="13"/>
  <c r="H43" i="13" s="1"/>
  <c r="G42" i="13"/>
  <c r="H42" i="13" s="1"/>
  <c r="G41" i="13"/>
  <c r="H41" i="13" s="1"/>
  <c r="G40" i="13"/>
  <c r="H40" i="13" s="1"/>
  <c r="G39" i="13"/>
  <c r="H39" i="13" s="1"/>
  <c r="G38" i="13"/>
  <c r="H38" i="13" s="1"/>
  <c r="G37" i="13"/>
  <c r="H37" i="13" s="1"/>
  <c r="G36" i="13"/>
  <c r="H36" i="13" s="1"/>
  <c r="G35" i="13"/>
  <c r="H35" i="13" s="1"/>
  <c r="G34" i="13"/>
  <c r="H34" i="13" s="1"/>
  <c r="G33" i="13"/>
  <c r="H33" i="13" s="1"/>
  <c r="G32" i="13"/>
  <c r="H32" i="13" s="1"/>
  <c r="G31" i="13"/>
  <c r="H31" i="13" s="1"/>
  <c r="G30" i="13"/>
  <c r="H30" i="13" s="1"/>
  <c r="G29" i="13"/>
  <c r="H29" i="13" s="1"/>
  <c r="G28" i="13"/>
  <c r="H28" i="13" s="1"/>
  <c r="G27" i="13"/>
  <c r="H27" i="13" s="1"/>
  <c r="G26" i="13"/>
  <c r="H26" i="13" s="1"/>
  <c r="G25" i="13"/>
  <c r="H25" i="13" s="1"/>
  <c r="G24" i="13"/>
  <c r="H24" i="13" s="1"/>
  <c r="G23" i="13"/>
  <c r="H23" i="13" s="1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H17" i="13" s="1"/>
  <c r="G14" i="13"/>
  <c r="H14" i="13" s="1"/>
  <c r="G13" i="13"/>
  <c r="H13" i="13" s="1"/>
  <c r="G11" i="13"/>
  <c r="H11" i="13" s="1"/>
  <c r="G10" i="13"/>
  <c r="H10" i="13" s="1"/>
  <c r="G9" i="13"/>
  <c r="H9" i="13" s="1"/>
  <c r="G8" i="13"/>
  <c r="H8" i="13" s="1"/>
  <c r="G7" i="13"/>
  <c r="H7" i="13" s="1"/>
  <c r="G4" i="13"/>
  <c r="H4" i="13" s="1"/>
  <c r="G3" i="13"/>
  <c r="H3" i="13" s="1"/>
  <c r="I15" i="13" l="1"/>
  <c r="J15" i="13" s="1"/>
  <c r="S52" i="13"/>
  <c r="T52" i="13" s="1"/>
  <c r="U52" i="13" s="1"/>
  <c r="S31" i="13"/>
  <c r="T31" i="13" s="1"/>
  <c r="U31" i="13" s="1"/>
  <c r="S41" i="13"/>
  <c r="T41" i="13" s="1"/>
  <c r="U41" i="13" s="1"/>
  <c r="S29" i="13"/>
  <c r="T29" i="13"/>
  <c r="U29" i="13" s="1"/>
  <c r="T16" i="13"/>
  <c r="U16" i="13" s="1"/>
  <c r="S11" i="13"/>
  <c r="T11" i="13" s="1"/>
  <c r="U11" i="13" s="1"/>
  <c r="AF26" i="13"/>
  <c r="S4" i="13"/>
  <c r="T4" i="13" s="1"/>
  <c r="U4" i="13" s="1"/>
  <c r="AF8" i="13"/>
  <c r="AF38" i="13"/>
  <c r="AF44" i="13"/>
  <c r="I5" i="13"/>
  <c r="J5" i="13" s="1"/>
  <c r="AF41" i="13"/>
  <c r="AF35" i="13"/>
  <c r="AF17" i="13"/>
  <c r="AF32" i="13"/>
  <c r="AF50" i="13"/>
  <c r="AF29" i="13"/>
  <c r="AF47" i="13"/>
  <c r="AE9" i="13"/>
  <c r="AF9" i="13" s="1"/>
  <c r="AE21" i="13"/>
  <c r="AF21" i="13" s="1"/>
  <c r="AE3" i="13"/>
  <c r="AE18" i="13"/>
  <c r="AF18" i="13" s="1"/>
  <c r="AE12" i="13"/>
  <c r="AF12" i="13" s="1"/>
  <c r="AE6" i="13"/>
  <c r="AF6" i="13" s="1"/>
  <c r="AE15" i="13"/>
  <c r="AF15" i="13" s="1"/>
  <c r="AE24" i="13"/>
  <c r="AF24" i="13" s="1"/>
  <c r="AE4" i="13"/>
  <c r="AF4" i="13" s="1"/>
  <c r="AE13" i="13"/>
  <c r="AF13" i="13" s="1"/>
  <c r="AE22" i="13"/>
  <c r="AF22" i="13" s="1"/>
  <c r="AE27" i="13"/>
  <c r="AF27" i="13" s="1"/>
  <c r="AE30" i="13"/>
  <c r="AF30" i="13" s="1"/>
  <c r="AE33" i="13"/>
  <c r="AF33" i="13" s="1"/>
  <c r="AE36" i="13"/>
  <c r="AF36" i="13" s="1"/>
  <c r="AE39" i="13"/>
  <c r="AF39" i="13" s="1"/>
  <c r="AE42" i="13"/>
  <c r="AF42" i="13" s="1"/>
  <c r="AE45" i="13"/>
  <c r="AF45" i="13" s="1"/>
  <c r="AE48" i="13"/>
  <c r="AF48" i="13" s="1"/>
  <c r="AE51" i="13"/>
  <c r="AF51" i="13" s="1"/>
  <c r="AF11" i="13"/>
  <c r="AF20" i="13"/>
  <c r="AE7" i="13"/>
  <c r="AF7" i="13" s="1"/>
  <c r="AE16" i="13"/>
  <c r="AF16" i="13" s="1"/>
  <c r="AE25" i="13"/>
  <c r="AF25" i="13" s="1"/>
  <c r="AF5" i="13"/>
  <c r="AF14" i="13"/>
  <c r="AF23" i="13"/>
  <c r="AE28" i="13"/>
  <c r="AF28" i="13" s="1"/>
  <c r="AE31" i="13"/>
  <c r="AF31" i="13" s="1"/>
  <c r="AE34" i="13"/>
  <c r="AF34" i="13" s="1"/>
  <c r="AE37" i="13"/>
  <c r="AF37" i="13" s="1"/>
  <c r="AE40" i="13"/>
  <c r="AF40" i="13" s="1"/>
  <c r="AE43" i="13"/>
  <c r="AF43" i="13" s="1"/>
  <c r="AE46" i="13"/>
  <c r="AF46" i="13" s="1"/>
  <c r="AE49" i="13"/>
  <c r="AF49" i="13" s="1"/>
  <c r="AE52" i="13"/>
  <c r="AF52" i="13" s="1"/>
  <c r="T26" i="13"/>
  <c r="U26" i="13" s="1"/>
  <c r="T47" i="13"/>
  <c r="U47" i="13" s="1"/>
  <c r="T54" i="13"/>
  <c r="U54" i="13" s="1"/>
  <c r="T3" i="13"/>
  <c r="T13" i="13"/>
  <c r="U13" i="13" s="1"/>
  <c r="T37" i="13"/>
  <c r="U37" i="13" s="1"/>
  <c r="T60" i="13"/>
  <c r="U60" i="13" s="1"/>
  <c r="T34" i="13"/>
  <c r="U34" i="13" s="1"/>
  <c r="T57" i="13"/>
  <c r="U57" i="13" s="1"/>
  <c r="T9" i="13"/>
  <c r="U9" i="13" s="1"/>
  <c r="T40" i="13"/>
  <c r="U40" i="13" s="1"/>
  <c r="T20" i="13"/>
  <c r="U20" i="13" s="1"/>
  <c r="T50" i="13"/>
  <c r="U50" i="13" s="1"/>
  <c r="T8" i="13"/>
  <c r="U8" i="13" s="1"/>
  <c r="T28" i="13"/>
  <c r="U28" i="13" s="1"/>
  <c r="T49" i="13"/>
  <c r="U49" i="13" s="1"/>
  <c r="T18" i="13"/>
  <c r="U18" i="13" s="1"/>
  <c r="T23" i="13"/>
  <c r="U23" i="13" s="1"/>
  <c r="T33" i="13"/>
  <c r="U33" i="13" s="1"/>
  <c r="T38" i="13"/>
  <c r="U38" i="13" s="1"/>
  <c r="T44" i="13"/>
  <c r="U44" i="13" s="1"/>
  <c r="T15" i="13"/>
  <c r="U15" i="13" s="1"/>
  <c r="T21" i="13"/>
  <c r="U21" i="13" s="1"/>
  <c r="T36" i="13"/>
  <c r="U36" i="13" s="1"/>
  <c r="T56" i="13"/>
  <c r="U56" i="13" s="1"/>
  <c r="T59" i="13"/>
  <c r="U59" i="13" s="1"/>
  <c r="T19" i="13"/>
  <c r="U19" i="13" s="1"/>
  <c r="T24" i="13"/>
  <c r="U24" i="13" s="1"/>
  <c r="T39" i="13"/>
  <c r="U39" i="13" s="1"/>
  <c r="T45" i="13"/>
  <c r="U45" i="13" s="1"/>
  <c r="T22" i="13"/>
  <c r="U22" i="13" s="1"/>
  <c r="T27" i="13"/>
  <c r="U27" i="13" s="1"/>
  <c r="T43" i="13"/>
  <c r="U43" i="13" s="1"/>
  <c r="T48" i="13"/>
  <c r="U48" i="13" s="1"/>
  <c r="T25" i="13"/>
  <c r="U25" i="13" s="1"/>
  <c r="T46" i="13"/>
  <c r="U46" i="13" s="1"/>
  <c r="I22" i="13"/>
  <c r="J22" i="13" s="1"/>
  <c r="I28" i="13"/>
  <c r="J28" i="13" s="1"/>
  <c r="I46" i="13"/>
  <c r="J46" i="13" s="1"/>
  <c r="I3" i="13"/>
  <c r="I10" i="13"/>
  <c r="J10" i="13" s="1"/>
  <c r="I17" i="13"/>
  <c r="J17" i="13" s="1"/>
  <c r="I23" i="13"/>
  <c r="J23" i="13" s="1"/>
  <c r="I29" i="13"/>
  <c r="J29" i="13" s="1"/>
  <c r="I41" i="13"/>
  <c r="J41" i="13" s="1"/>
  <c r="I47" i="13"/>
  <c r="J47" i="13" s="1"/>
  <c r="I53" i="13"/>
  <c r="J53" i="13" s="1"/>
  <c r="I4" i="13"/>
  <c r="J4" i="13" s="1"/>
  <c r="I11" i="13"/>
  <c r="J11" i="13" s="1"/>
  <c r="I18" i="13"/>
  <c r="J18" i="13" s="1"/>
  <c r="I24" i="13"/>
  <c r="J24" i="13" s="1"/>
  <c r="I30" i="13"/>
  <c r="J30" i="13" s="1"/>
  <c r="I36" i="13"/>
  <c r="J36" i="13" s="1"/>
  <c r="I42" i="13"/>
  <c r="J42" i="13" s="1"/>
  <c r="I48" i="13"/>
  <c r="J48" i="13" s="1"/>
  <c r="I19" i="13"/>
  <c r="J19" i="13" s="1"/>
  <c r="I25" i="13"/>
  <c r="J25" i="13" s="1"/>
  <c r="I31" i="13"/>
  <c r="J31" i="13" s="1"/>
  <c r="I37" i="13"/>
  <c r="J37" i="13" s="1"/>
  <c r="I43" i="13"/>
  <c r="J43" i="13" s="1"/>
  <c r="I49" i="13"/>
  <c r="J49" i="13" s="1"/>
  <c r="I7" i="13"/>
  <c r="J7" i="13" s="1"/>
  <c r="I13" i="13"/>
  <c r="J13" i="13" s="1"/>
  <c r="I20" i="13"/>
  <c r="J20" i="13" s="1"/>
  <c r="I26" i="13"/>
  <c r="J26" i="13" s="1"/>
  <c r="I32" i="13"/>
  <c r="J32" i="13" s="1"/>
  <c r="I38" i="13"/>
  <c r="J38" i="13" s="1"/>
  <c r="I44" i="13"/>
  <c r="J44" i="13" s="1"/>
  <c r="I50" i="13"/>
  <c r="J50" i="13" s="1"/>
  <c r="I9" i="13"/>
  <c r="J9" i="13" s="1"/>
  <c r="I34" i="13"/>
  <c r="J34" i="13" s="1"/>
  <c r="I40" i="13"/>
  <c r="J40" i="13" s="1"/>
  <c r="I8" i="13"/>
  <c r="J8" i="13" s="1"/>
  <c r="I14" i="13"/>
  <c r="J14" i="13" s="1"/>
  <c r="I21" i="13"/>
  <c r="J21" i="13" s="1"/>
  <c r="I27" i="13"/>
  <c r="J27" i="13" s="1"/>
  <c r="I33" i="13"/>
  <c r="J33" i="13" s="1"/>
  <c r="I39" i="13"/>
  <c r="J39" i="13" s="1"/>
  <c r="I45" i="13"/>
  <c r="J45" i="13" s="1"/>
  <c r="I51" i="13"/>
  <c r="J51" i="13" s="1"/>
  <c r="I52" i="13"/>
  <c r="J52" i="13" s="1"/>
  <c r="I35" i="13"/>
  <c r="J35" i="13" s="1"/>
  <c r="I54" i="13"/>
  <c r="J54" i="13" s="1"/>
  <c r="AC14" i="12"/>
  <c r="AD14" i="12" s="1"/>
  <c r="T62" i="13" l="1"/>
  <c r="AF3" i="13"/>
  <c r="U3" i="13"/>
  <c r="J3" i="13"/>
  <c r="AE14" i="12"/>
  <c r="AF14" i="12" s="1"/>
  <c r="R54" i="12"/>
  <c r="R53" i="12"/>
  <c r="R42" i="12"/>
  <c r="R41" i="12"/>
  <c r="S41" i="12" s="1"/>
  <c r="R38" i="12"/>
  <c r="R37" i="12"/>
  <c r="S37" i="12" s="1"/>
  <c r="R36" i="12"/>
  <c r="R35" i="12"/>
  <c r="R34" i="12"/>
  <c r="S53" i="12" l="1"/>
  <c r="U53" i="12" s="1"/>
  <c r="T41" i="12"/>
  <c r="U41" i="12" s="1"/>
  <c r="T37" i="12"/>
  <c r="U37" i="12" s="1"/>
  <c r="S34" i="12"/>
  <c r="T34" i="12" s="1"/>
  <c r="U34" i="12" s="1"/>
  <c r="R32" i="12"/>
  <c r="R31" i="12"/>
  <c r="R29" i="12"/>
  <c r="R20" i="12"/>
  <c r="R19" i="12"/>
  <c r="R18" i="12"/>
  <c r="R11" i="12"/>
  <c r="R10" i="12"/>
  <c r="R8" i="12"/>
  <c r="R7" i="12"/>
  <c r="R6" i="12"/>
  <c r="G14" i="12"/>
  <c r="G13" i="12"/>
  <c r="G12" i="12"/>
  <c r="G10" i="12"/>
  <c r="G9" i="12"/>
  <c r="F3" i="12"/>
  <c r="G62" i="12"/>
  <c r="H62" i="12" s="1"/>
  <c r="I62" i="12" s="1"/>
  <c r="G61" i="12"/>
  <c r="H61" i="12" s="1"/>
  <c r="I61" i="12" s="1"/>
  <c r="G60" i="12"/>
  <c r="H60" i="12" s="1"/>
  <c r="I60" i="12" s="1"/>
  <c r="G59" i="12"/>
  <c r="H59" i="12" s="1"/>
  <c r="I59" i="12" s="1"/>
  <c r="AC52" i="12"/>
  <c r="AD52" i="12" s="1"/>
  <c r="AE52" i="12" s="1"/>
  <c r="AC51" i="12"/>
  <c r="AD51" i="12" s="1"/>
  <c r="AC50" i="12"/>
  <c r="AD50" i="12" s="1"/>
  <c r="AE50" i="12" s="1"/>
  <c r="AC49" i="12"/>
  <c r="AD49" i="12" s="1"/>
  <c r="AE49" i="12" s="1"/>
  <c r="AC48" i="12"/>
  <c r="AD48" i="12" s="1"/>
  <c r="AC47" i="12"/>
  <c r="AD47" i="12" s="1"/>
  <c r="AE47" i="12" s="1"/>
  <c r="AC46" i="12"/>
  <c r="AD46" i="12" s="1"/>
  <c r="AE46" i="12" s="1"/>
  <c r="AC45" i="12"/>
  <c r="AD45" i="12" s="1"/>
  <c r="AC44" i="12"/>
  <c r="AD44" i="12" s="1"/>
  <c r="AE44" i="12" s="1"/>
  <c r="AC43" i="12"/>
  <c r="AD43" i="12" s="1"/>
  <c r="AE43" i="12" s="1"/>
  <c r="AC42" i="12"/>
  <c r="AD42" i="12" s="1"/>
  <c r="AC41" i="12"/>
  <c r="AD41" i="12" s="1"/>
  <c r="AE41" i="12" s="1"/>
  <c r="AC40" i="12"/>
  <c r="AD40" i="12" s="1"/>
  <c r="AE40" i="12" s="1"/>
  <c r="AC39" i="12"/>
  <c r="AD39" i="12" s="1"/>
  <c r="AC38" i="12"/>
  <c r="AD38" i="12" s="1"/>
  <c r="AE38" i="12" s="1"/>
  <c r="AC37" i="12"/>
  <c r="AD37" i="12" s="1"/>
  <c r="AE37" i="12" s="1"/>
  <c r="AC36" i="12"/>
  <c r="AD36" i="12" s="1"/>
  <c r="AC35" i="12"/>
  <c r="AD35" i="12" s="1"/>
  <c r="AE35" i="12" s="1"/>
  <c r="AC34" i="12"/>
  <c r="AD34" i="12" s="1"/>
  <c r="AE34" i="12" s="1"/>
  <c r="AC33" i="12"/>
  <c r="AD33" i="12" s="1"/>
  <c r="AC32" i="12"/>
  <c r="AD32" i="12" s="1"/>
  <c r="AE32" i="12" s="1"/>
  <c r="AC31" i="12"/>
  <c r="AD31" i="12" s="1"/>
  <c r="AE31" i="12" s="1"/>
  <c r="AC30" i="12"/>
  <c r="AD30" i="12" s="1"/>
  <c r="AC29" i="12"/>
  <c r="AD29" i="12" s="1"/>
  <c r="AE29" i="12" s="1"/>
  <c r="AC28" i="12"/>
  <c r="AD28" i="12" s="1"/>
  <c r="AE28" i="12" s="1"/>
  <c r="AC27" i="12"/>
  <c r="AD27" i="12" s="1"/>
  <c r="AC26" i="12"/>
  <c r="AD26" i="12" s="1"/>
  <c r="AE26" i="12" s="1"/>
  <c r="AC25" i="12"/>
  <c r="AD25" i="12" s="1"/>
  <c r="AE25" i="12" s="1"/>
  <c r="AF25" i="12" s="1"/>
  <c r="AC24" i="12"/>
  <c r="AD24" i="12" s="1"/>
  <c r="AC23" i="12"/>
  <c r="AD23" i="12" s="1"/>
  <c r="AE23" i="12" s="1"/>
  <c r="AC22" i="12"/>
  <c r="AD22" i="12" s="1"/>
  <c r="AC21" i="12"/>
  <c r="AD21" i="12" s="1"/>
  <c r="AC20" i="12"/>
  <c r="AD20" i="12" s="1"/>
  <c r="AE20" i="12" s="1"/>
  <c r="AC19" i="12"/>
  <c r="AD19" i="12" s="1"/>
  <c r="AE19" i="12" s="1"/>
  <c r="AF19" i="12" s="1"/>
  <c r="AC18" i="12"/>
  <c r="AD18" i="12" s="1"/>
  <c r="AC17" i="12"/>
  <c r="AD17" i="12" s="1"/>
  <c r="AE17" i="12" s="1"/>
  <c r="AC16" i="12"/>
  <c r="AD16" i="12" s="1"/>
  <c r="AE16" i="12" s="1"/>
  <c r="AF16" i="12" s="1"/>
  <c r="AC15" i="12"/>
  <c r="AD15" i="12" s="1"/>
  <c r="AC12" i="12"/>
  <c r="AD12" i="12" s="1"/>
  <c r="AC11" i="12"/>
  <c r="AE11" i="12" s="1"/>
  <c r="AC10" i="12"/>
  <c r="AD10" i="12" s="1"/>
  <c r="AE10" i="12" s="1"/>
  <c r="AF10" i="12" s="1"/>
  <c r="AC9" i="12"/>
  <c r="AD9" i="12" s="1"/>
  <c r="AC8" i="12"/>
  <c r="AE8" i="12" s="1"/>
  <c r="AC7" i="12"/>
  <c r="AD7" i="12" s="1"/>
  <c r="AE7" i="12" s="1"/>
  <c r="AF7" i="12" s="1"/>
  <c r="AC6" i="12"/>
  <c r="AC5" i="12"/>
  <c r="AD5" i="12" s="1"/>
  <c r="AE5" i="12" s="1"/>
  <c r="AC4" i="12"/>
  <c r="AD4" i="12" s="1"/>
  <c r="AC3" i="12"/>
  <c r="AD3" i="12" s="1"/>
  <c r="R65" i="12"/>
  <c r="S65" i="12" s="1"/>
  <c r="T65" i="12" s="1"/>
  <c r="U65" i="12" s="1"/>
  <c r="R64" i="12"/>
  <c r="S64" i="12" s="1"/>
  <c r="T64" i="12" s="1"/>
  <c r="R63" i="12"/>
  <c r="S63" i="12" s="1"/>
  <c r="R62" i="12"/>
  <c r="S62" i="12" s="1"/>
  <c r="T62" i="12" s="1"/>
  <c r="U62" i="12" s="1"/>
  <c r="R61" i="12"/>
  <c r="S61" i="12" s="1"/>
  <c r="R60" i="12"/>
  <c r="S60" i="12" s="1"/>
  <c r="R59" i="12"/>
  <c r="S59" i="12" s="1"/>
  <c r="T59" i="12" s="1"/>
  <c r="U59" i="12" s="1"/>
  <c r="R58" i="12"/>
  <c r="S58" i="12" s="1"/>
  <c r="R57" i="12"/>
  <c r="S57" i="12" s="1"/>
  <c r="R56" i="12"/>
  <c r="S56" i="12" s="1"/>
  <c r="T56" i="12" s="1"/>
  <c r="U56" i="12" s="1"/>
  <c r="R55" i="12"/>
  <c r="S55" i="12" s="1"/>
  <c r="R52" i="12"/>
  <c r="S52" i="12" s="1"/>
  <c r="R51" i="12"/>
  <c r="S51" i="12" s="1"/>
  <c r="T51" i="12" s="1"/>
  <c r="R50" i="12"/>
  <c r="S50" i="12" s="1"/>
  <c r="R49" i="12"/>
  <c r="S49" i="12" s="1"/>
  <c r="T49" i="12" s="1"/>
  <c r="U49" i="12" s="1"/>
  <c r="R48" i="12"/>
  <c r="S48" i="12" s="1"/>
  <c r="T48" i="12" s="1"/>
  <c r="R47" i="12"/>
  <c r="S47" i="12" s="1"/>
  <c r="R46" i="12"/>
  <c r="S46" i="12" s="1"/>
  <c r="T46" i="12" s="1"/>
  <c r="U46" i="12" s="1"/>
  <c r="R45" i="12"/>
  <c r="S45" i="12" s="1"/>
  <c r="R44" i="12"/>
  <c r="S44" i="12" s="1"/>
  <c r="R43" i="12"/>
  <c r="T43" i="12" s="1"/>
  <c r="U43" i="12" s="1"/>
  <c r="R40" i="12"/>
  <c r="S40" i="12" s="1"/>
  <c r="R39" i="12"/>
  <c r="S39" i="12" s="1"/>
  <c r="T39" i="12" s="1"/>
  <c r="U39" i="12" s="1"/>
  <c r="R33" i="12"/>
  <c r="S33" i="12" s="1"/>
  <c r="T33" i="12" s="1"/>
  <c r="U33" i="12" s="1"/>
  <c r="R28" i="12"/>
  <c r="R27" i="12"/>
  <c r="S27" i="12" s="1"/>
  <c r="T27" i="12" s="1"/>
  <c r="U27" i="12" s="1"/>
  <c r="R26" i="12"/>
  <c r="S26" i="12" s="1"/>
  <c r="T26" i="12" s="1"/>
  <c r="R25" i="12"/>
  <c r="S25" i="12" s="1"/>
  <c r="R24" i="12"/>
  <c r="S24" i="12" s="1"/>
  <c r="T24" i="12" s="1"/>
  <c r="U24" i="12" s="1"/>
  <c r="R23" i="12"/>
  <c r="S23" i="12" s="1"/>
  <c r="T23" i="12" s="1"/>
  <c r="R22" i="12"/>
  <c r="S22" i="12" s="1"/>
  <c r="R21" i="12"/>
  <c r="S21" i="12" s="1"/>
  <c r="T21" i="12" s="1"/>
  <c r="U21" i="12" s="1"/>
  <c r="R17" i="12"/>
  <c r="S17" i="12" s="1"/>
  <c r="R16" i="12"/>
  <c r="T16" i="12" s="1"/>
  <c r="U16" i="12" s="1"/>
  <c r="R15" i="12"/>
  <c r="S15" i="12" s="1"/>
  <c r="R14" i="12"/>
  <c r="S14" i="12" s="1"/>
  <c r="R13" i="12"/>
  <c r="S13" i="12" s="1"/>
  <c r="T13" i="12" s="1"/>
  <c r="U13" i="12" s="1"/>
  <c r="R12" i="12"/>
  <c r="S12" i="12" s="1"/>
  <c r="T12" i="12" s="1"/>
  <c r="R9" i="12"/>
  <c r="S9" i="12" s="1"/>
  <c r="T9" i="12" s="1"/>
  <c r="U9" i="12" s="1"/>
  <c r="R5" i="12"/>
  <c r="S5" i="12" s="1"/>
  <c r="R4" i="12"/>
  <c r="S4" i="12" s="1"/>
  <c r="T4" i="12" s="1"/>
  <c r="U4" i="12" s="1"/>
  <c r="R3" i="12"/>
  <c r="S3" i="12" s="1"/>
  <c r="T3" i="12" s="1"/>
  <c r="G55" i="12"/>
  <c r="H55" i="12" s="1"/>
  <c r="G54" i="12"/>
  <c r="H54" i="12" s="1"/>
  <c r="G53" i="12"/>
  <c r="H53" i="12" s="1"/>
  <c r="I53" i="12" s="1"/>
  <c r="G52" i="12"/>
  <c r="H52" i="12" s="1"/>
  <c r="I52" i="12" s="1"/>
  <c r="G51" i="12"/>
  <c r="H51" i="12" s="1"/>
  <c r="G50" i="12"/>
  <c r="H50" i="12" s="1"/>
  <c r="I50" i="12" s="1"/>
  <c r="G49" i="12"/>
  <c r="H49" i="12" s="1"/>
  <c r="G48" i="12"/>
  <c r="H48" i="12" s="1"/>
  <c r="G47" i="12"/>
  <c r="H47" i="12" s="1"/>
  <c r="I47" i="12" s="1"/>
  <c r="G46" i="12"/>
  <c r="H46" i="12" s="1"/>
  <c r="G45" i="12"/>
  <c r="H45" i="12" s="1"/>
  <c r="G44" i="12"/>
  <c r="H44" i="12" s="1"/>
  <c r="I44" i="12" s="1"/>
  <c r="G43" i="12"/>
  <c r="H43" i="12" s="1"/>
  <c r="I43" i="12" s="1"/>
  <c r="G42" i="12"/>
  <c r="H42" i="12" s="1"/>
  <c r="G41" i="12"/>
  <c r="H41" i="12" s="1"/>
  <c r="I41" i="12" s="1"/>
  <c r="G40" i="12"/>
  <c r="H40" i="12" s="1"/>
  <c r="G39" i="12"/>
  <c r="H39" i="12" s="1"/>
  <c r="G38" i="12"/>
  <c r="H38" i="12" s="1"/>
  <c r="I38" i="12" s="1"/>
  <c r="G37" i="12"/>
  <c r="H37" i="12" s="1"/>
  <c r="G36" i="12"/>
  <c r="H36" i="12" s="1"/>
  <c r="G35" i="12"/>
  <c r="H35" i="12" s="1"/>
  <c r="I35" i="12" s="1"/>
  <c r="G34" i="12"/>
  <c r="H34" i="12" s="1"/>
  <c r="I34" i="12" s="1"/>
  <c r="G33" i="12"/>
  <c r="H33" i="12" s="1"/>
  <c r="G32" i="12"/>
  <c r="H32" i="12" s="1"/>
  <c r="I32" i="12" s="1"/>
  <c r="G31" i="12"/>
  <c r="H31" i="12" s="1"/>
  <c r="G30" i="12"/>
  <c r="H30" i="12" s="1"/>
  <c r="G29" i="12"/>
  <c r="H29" i="12" s="1"/>
  <c r="I29" i="12" s="1"/>
  <c r="G28" i="12"/>
  <c r="H28" i="12" s="1"/>
  <c r="G27" i="12"/>
  <c r="H27" i="12" s="1"/>
  <c r="G26" i="12"/>
  <c r="H26" i="12" s="1"/>
  <c r="I26" i="12" s="1"/>
  <c r="G25" i="12"/>
  <c r="H25" i="12" s="1"/>
  <c r="I25" i="12" s="1"/>
  <c r="J25" i="12" s="1"/>
  <c r="G24" i="12"/>
  <c r="H24" i="12" s="1"/>
  <c r="G23" i="12"/>
  <c r="H23" i="12" s="1"/>
  <c r="I23" i="12" s="1"/>
  <c r="G22" i="12"/>
  <c r="H22" i="12" s="1"/>
  <c r="G21" i="12"/>
  <c r="H21" i="12" s="1"/>
  <c r="G20" i="12"/>
  <c r="H20" i="12" s="1"/>
  <c r="I20" i="12" s="1"/>
  <c r="G19" i="12"/>
  <c r="H19" i="12" s="1"/>
  <c r="G18" i="12"/>
  <c r="H18" i="12" s="1"/>
  <c r="G17" i="12"/>
  <c r="H17" i="12" s="1"/>
  <c r="I17" i="12" s="1"/>
  <c r="G16" i="12"/>
  <c r="H16" i="12" s="1"/>
  <c r="I16" i="12" s="1"/>
  <c r="J16" i="12" s="1"/>
  <c r="G15" i="12"/>
  <c r="H15" i="12" s="1"/>
  <c r="G11" i="12"/>
  <c r="H11" i="12" s="1"/>
  <c r="G8" i="12"/>
  <c r="H8" i="12" s="1"/>
  <c r="I8" i="12" s="1"/>
  <c r="G7" i="12"/>
  <c r="H7" i="12" s="1"/>
  <c r="G6" i="12"/>
  <c r="H6" i="12" s="1"/>
  <c r="G5" i="12"/>
  <c r="H5" i="12" s="1"/>
  <c r="I5" i="12" s="1"/>
  <c r="G4" i="12"/>
  <c r="H4" i="12" s="1"/>
  <c r="I4" i="12" s="1"/>
  <c r="J4" i="12" s="1"/>
  <c r="H3" i="12"/>
  <c r="T52" i="12" l="1"/>
  <c r="U52" i="12" s="1"/>
  <c r="S28" i="12"/>
  <c r="T28" i="12" s="1"/>
  <c r="U28" i="12" s="1"/>
  <c r="S31" i="12"/>
  <c r="T31" i="12" s="1"/>
  <c r="U31" i="12" s="1"/>
  <c r="S18" i="12"/>
  <c r="T18" i="12" s="1"/>
  <c r="U18" i="12" s="1"/>
  <c r="S10" i="12"/>
  <c r="T10" i="12" s="1"/>
  <c r="U10" i="12" s="1"/>
  <c r="S6" i="12"/>
  <c r="T6" i="12"/>
  <c r="U6" i="12" s="1"/>
  <c r="J44" i="12"/>
  <c r="H12" i="12"/>
  <c r="I12" i="12" s="1"/>
  <c r="J12" i="12" s="1"/>
  <c r="J32" i="12"/>
  <c r="J38" i="12"/>
  <c r="J50" i="12"/>
  <c r="H9" i="12"/>
  <c r="I9" i="12" s="1"/>
  <c r="J9" i="12" s="1"/>
  <c r="J20" i="12"/>
  <c r="J23" i="12"/>
  <c r="J41" i="12"/>
  <c r="AF17" i="12"/>
  <c r="J8" i="12"/>
  <c r="J35" i="12"/>
  <c r="J53" i="12"/>
  <c r="AF8" i="12"/>
  <c r="J29" i="12"/>
  <c r="J47" i="12"/>
  <c r="AF23" i="12"/>
  <c r="AF26" i="12"/>
  <c r="AF29" i="12"/>
  <c r="AF32" i="12"/>
  <c r="AF35" i="12"/>
  <c r="AF38" i="12"/>
  <c r="AF41" i="12"/>
  <c r="AF44" i="12"/>
  <c r="AF47" i="12"/>
  <c r="AF50" i="12"/>
  <c r="AF5" i="12"/>
  <c r="AE9" i="12"/>
  <c r="AF9" i="12" s="1"/>
  <c r="AE18" i="12"/>
  <c r="AF18" i="12" s="1"/>
  <c r="AE24" i="12"/>
  <c r="AF24" i="12" s="1"/>
  <c r="AE3" i="12"/>
  <c r="AE12" i="12"/>
  <c r="AF12" i="12" s="1"/>
  <c r="AE21" i="12"/>
  <c r="AF21" i="12" s="1"/>
  <c r="AE6" i="12"/>
  <c r="AF6" i="12" s="1"/>
  <c r="AE15" i="12"/>
  <c r="AF15" i="12" s="1"/>
  <c r="AE4" i="12"/>
  <c r="AF4" i="12" s="1"/>
  <c r="AE22" i="12"/>
  <c r="AF22" i="12" s="1"/>
  <c r="AE27" i="12"/>
  <c r="AF27" i="12" s="1"/>
  <c r="AE30" i="12"/>
  <c r="AF30" i="12" s="1"/>
  <c r="AE33" i="12"/>
  <c r="AF33" i="12" s="1"/>
  <c r="AE36" i="12"/>
  <c r="AF36" i="12" s="1"/>
  <c r="AE39" i="12"/>
  <c r="AF39" i="12" s="1"/>
  <c r="AE42" i="12"/>
  <c r="AF42" i="12" s="1"/>
  <c r="AE45" i="12"/>
  <c r="AF45" i="12" s="1"/>
  <c r="AE48" i="12"/>
  <c r="AF48" i="12" s="1"/>
  <c r="AE51" i="12"/>
  <c r="AF51" i="12" s="1"/>
  <c r="AF11" i="12"/>
  <c r="AF20" i="12"/>
  <c r="AF28" i="12"/>
  <c r="AF31" i="12"/>
  <c r="AF34" i="12"/>
  <c r="AF37" i="12"/>
  <c r="AF40" i="12"/>
  <c r="AF43" i="12"/>
  <c r="AF46" i="12"/>
  <c r="AF49" i="12"/>
  <c r="AF52" i="12"/>
  <c r="T22" i="12"/>
  <c r="U22" i="12" s="1"/>
  <c r="T47" i="12"/>
  <c r="U47" i="12" s="1"/>
  <c r="T17" i="12"/>
  <c r="U17" i="12" s="1"/>
  <c r="T44" i="12"/>
  <c r="U44" i="12" s="1"/>
  <c r="T63" i="12"/>
  <c r="U63" i="12" s="1"/>
  <c r="T14" i="12"/>
  <c r="U14" i="12" s="1"/>
  <c r="T40" i="12"/>
  <c r="U40" i="12" s="1"/>
  <c r="T60" i="12"/>
  <c r="U60" i="12" s="1"/>
  <c r="T57" i="12"/>
  <c r="U57" i="12" s="1"/>
  <c r="T5" i="12"/>
  <c r="U5" i="12" s="1"/>
  <c r="T25" i="12"/>
  <c r="U25" i="12" s="1"/>
  <c r="T50" i="12"/>
  <c r="U50" i="12" s="1"/>
  <c r="T15" i="12"/>
  <c r="U15" i="12" s="1"/>
  <c r="T45" i="12"/>
  <c r="U45" i="12" s="1"/>
  <c r="T55" i="12"/>
  <c r="U55" i="12" s="1"/>
  <c r="T58" i="12"/>
  <c r="U58" i="12" s="1"/>
  <c r="T61" i="12"/>
  <c r="U61" i="12" s="1"/>
  <c r="U3" i="12"/>
  <c r="U12" i="12"/>
  <c r="U23" i="12"/>
  <c r="U26" i="12"/>
  <c r="U48" i="12"/>
  <c r="U51" i="12"/>
  <c r="U64" i="12"/>
  <c r="I15" i="12"/>
  <c r="J15" i="12" s="1"/>
  <c r="I3" i="12"/>
  <c r="I56" i="12" s="1"/>
  <c r="I24" i="12"/>
  <c r="J24" i="12" s="1"/>
  <c r="I19" i="12"/>
  <c r="J19" i="12" s="1"/>
  <c r="I28" i="12"/>
  <c r="J28" i="12" s="1"/>
  <c r="J5" i="12"/>
  <c r="J17" i="12"/>
  <c r="J26" i="12"/>
  <c r="I31" i="12"/>
  <c r="J31" i="12" s="1"/>
  <c r="I37" i="12"/>
  <c r="J37" i="12" s="1"/>
  <c r="I40" i="12"/>
  <c r="J40" i="12" s="1"/>
  <c r="I46" i="12"/>
  <c r="J46" i="12" s="1"/>
  <c r="I49" i="12"/>
  <c r="J49" i="12" s="1"/>
  <c r="I55" i="12"/>
  <c r="J55" i="12" s="1"/>
  <c r="I11" i="12"/>
  <c r="J11" i="12" s="1"/>
  <c r="I22" i="12"/>
  <c r="J22" i="12" s="1"/>
  <c r="I21" i="12"/>
  <c r="J21" i="12" s="1"/>
  <c r="I7" i="12"/>
  <c r="J7" i="12" s="1"/>
  <c r="J34" i="12"/>
  <c r="J43" i="12"/>
  <c r="J52" i="12"/>
  <c r="I6" i="12"/>
  <c r="J6" i="12" s="1"/>
  <c r="I18" i="12"/>
  <c r="J18" i="12" s="1"/>
  <c r="I27" i="12"/>
  <c r="J27" i="12" s="1"/>
  <c r="I30" i="12"/>
  <c r="J30" i="12" s="1"/>
  <c r="I33" i="12"/>
  <c r="J33" i="12" s="1"/>
  <c r="I36" i="12"/>
  <c r="J36" i="12" s="1"/>
  <c r="I39" i="12"/>
  <c r="J39" i="12" s="1"/>
  <c r="I42" i="12"/>
  <c r="J42" i="12" s="1"/>
  <c r="I45" i="12"/>
  <c r="J45" i="12" s="1"/>
  <c r="I48" i="12"/>
  <c r="J48" i="12" s="1"/>
  <c r="I51" i="12"/>
  <c r="J51" i="12" s="1"/>
  <c r="I54" i="12"/>
  <c r="J54" i="12" s="1"/>
  <c r="R60" i="11"/>
  <c r="R59" i="11"/>
  <c r="R58" i="11"/>
  <c r="R57" i="11"/>
  <c r="R56" i="11"/>
  <c r="R52" i="11"/>
  <c r="R51" i="11"/>
  <c r="R53" i="11"/>
  <c r="S53" i="11" s="1"/>
  <c r="R47" i="11"/>
  <c r="R46" i="11"/>
  <c r="R45" i="11"/>
  <c r="R44" i="11"/>
  <c r="R41" i="11"/>
  <c r="R40" i="11"/>
  <c r="R42" i="11"/>
  <c r="S42" i="11" s="1"/>
  <c r="R38" i="11"/>
  <c r="R37" i="11"/>
  <c r="Q35" i="11"/>
  <c r="R36" i="11"/>
  <c r="S35" i="11" s="1"/>
  <c r="AE53" i="12" l="1"/>
  <c r="T66" i="12"/>
  <c r="J3" i="12"/>
  <c r="AF3" i="12"/>
  <c r="S58" i="11"/>
  <c r="T58" i="11" s="1"/>
  <c r="U58" i="11" s="1"/>
  <c r="S56" i="11"/>
  <c r="T56" i="11" s="1"/>
  <c r="U56" i="11" s="1"/>
  <c r="S51" i="11"/>
  <c r="T51" i="11" s="1"/>
  <c r="U51" i="11" s="1"/>
  <c r="T53" i="11"/>
  <c r="U53" i="11" s="1"/>
  <c r="S46" i="11"/>
  <c r="T46" i="11" s="1"/>
  <c r="U46" i="11" s="1"/>
  <c r="S44" i="11"/>
  <c r="T44" i="11" s="1"/>
  <c r="U44" i="11" s="1"/>
  <c r="S40" i="11"/>
  <c r="T40" i="11" s="1"/>
  <c r="U40" i="11" s="1"/>
  <c r="T42" i="11"/>
  <c r="U42" i="11" s="1"/>
  <c r="S37" i="11"/>
  <c r="T37" i="11" s="1"/>
  <c r="U37" i="11" s="1"/>
  <c r="T35" i="11"/>
  <c r="U35" i="11" s="1"/>
  <c r="S31" i="11"/>
  <c r="T31" i="11" s="1"/>
  <c r="U31" i="11" s="1"/>
  <c r="AB6" i="11"/>
  <c r="G14" i="11"/>
  <c r="G13" i="11"/>
  <c r="H13" i="11" l="1"/>
  <c r="I13" i="11" s="1"/>
  <c r="J13" i="11" s="1"/>
  <c r="G52" i="11"/>
  <c r="H52" i="11" s="1"/>
  <c r="G51" i="11"/>
  <c r="H51" i="11" s="1"/>
  <c r="R19" i="11"/>
  <c r="R18" i="11"/>
  <c r="R12" i="11"/>
  <c r="R11" i="11"/>
  <c r="S11" i="11" l="1"/>
  <c r="S18" i="11"/>
  <c r="T18" i="11" s="1"/>
  <c r="U18" i="11" s="1"/>
  <c r="I51" i="11"/>
  <c r="J51" i="11" s="1"/>
  <c r="I52" i="11"/>
  <c r="J52" i="11" s="1"/>
  <c r="T11" i="11"/>
  <c r="U11" i="11" s="1"/>
  <c r="H5" i="11"/>
  <c r="F3" i="11"/>
  <c r="AB4" i="11"/>
  <c r="AB3" i="11"/>
  <c r="AD3" i="11"/>
  <c r="AC52" i="11"/>
  <c r="AD52" i="11" s="1"/>
  <c r="AC51" i="11"/>
  <c r="AD51" i="11" s="1"/>
  <c r="AC50" i="11"/>
  <c r="AD50" i="11" s="1"/>
  <c r="AE50" i="11" s="1"/>
  <c r="AF50" i="11" s="1"/>
  <c r="AC49" i="11"/>
  <c r="AD49" i="11" s="1"/>
  <c r="AC48" i="11"/>
  <c r="AD48" i="11" s="1"/>
  <c r="AC47" i="11"/>
  <c r="AD47" i="11" s="1"/>
  <c r="AC46" i="11"/>
  <c r="AD46" i="11" s="1"/>
  <c r="AC45" i="11"/>
  <c r="AD45" i="11" s="1"/>
  <c r="AC44" i="11"/>
  <c r="AD44" i="11" s="1"/>
  <c r="AC43" i="11"/>
  <c r="AD43" i="11" s="1"/>
  <c r="AC42" i="11"/>
  <c r="AD42" i="11" s="1"/>
  <c r="AC41" i="11"/>
  <c r="AD41" i="11" s="1"/>
  <c r="AC40" i="11"/>
  <c r="AD40" i="11" s="1"/>
  <c r="AC39" i="11"/>
  <c r="AD39" i="11" s="1"/>
  <c r="AC38" i="11"/>
  <c r="AD38" i="11" s="1"/>
  <c r="AC37" i="11"/>
  <c r="AD37" i="11" s="1"/>
  <c r="AC36" i="11"/>
  <c r="AD36" i="11" s="1"/>
  <c r="AC35" i="11"/>
  <c r="AD35" i="11" s="1"/>
  <c r="AE35" i="11" s="1"/>
  <c r="AF35" i="11" s="1"/>
  <c r="AC34" i="11"/>
  <c r="AD34" i="11" s="1"/>
  <c r="AC33" i="11"/>
  <c r="AD33" i="11" s="1"/>
  <c r="AC32" i="11"/>
  <c r="AD32" i="11" s="1"/>
  <c r="AE32" i="11" s="1"/>
  <c r="AF32" i="11" s="1"/>
  <c r="AC31" i="11"/>
  <c r="AD31" i="11" s="1"/>
  <c r="AC30" i="11"/>
  <c r="AD30" i="11" s="1"/>
  <c r="AC29" i="11"/>
  <c r="AD29" i="11" s="1"/>
  <c r="AC28" i="11"/>
  <c r="AD28" i="11" s="1"/>
  <c r="AC27" i="11"/>
  <c r="AD27" i="11" s="1"/>
  <c r="AC26" i="11"/>
  <c r="AD26" i="11" s="1"/>
  <c r="AC25" i="11"/>
  <c r="AD25" i="11" s="1"/>
  <c r="AC24" i="11"/>
  <c r="AD24" i="11" s="1"/>
  <c r="AC23" i="11"/>
  <c r="AD23" i="11" s="1"/>
  <c r="AC22" i="11"/>
  <c r="AD22" i="11" s="1"/>
  <c r="AC21" i="11"/>
  <c r="AD21" i="11" s="1"/>
  <c r="AC20" i="11"/>
  <c r="AD20" i="11" s="1"/>
  <c r="AC19" i="11"/>
  <c r="AD19" i="11" s="1"/>
  <c r="AC18" i="11"/>
  <c r="AD18" i="11" s="1"/>
  <c r="AC17" i="11"/>
  <c r="AD17" i="11" s="1"/>
  <c r="AE17" i="11" s="1"/>
  <c r="AF17" i="11" s="1"/>
  <c r="AC16" i="11"/>
  <c r="AD16" i="11" s="1"/>
  <c r="AC15" i="11"/>
  <c r="AD15" i="11" s="1"/>
  <c r="AC14" i="11"/>
  <c r="AD14" i="11" s="1"/>
  <c r="AE14" i="11" s="1"/>
  <c r="AF14" i="11" s="1"/>
  <c r="AC13" i="11"/>
  <c r="AD13" i="11" s="1"/>
  <c r="AC12" i="11"/>
  <c r="AD12" i="11" s="1"/>
  <c r="AC11" i="11"/>
  <c r="AD11" i="11" s="1"/>
  <c r="AC10" i="11"/>
  <c r="AD10" i="11" s="1"/>
  <c r="AC9" i="11"/>
  <c r="AD9" i="11" s="1"/>
  <c r="AC8" i="11"/>
  <c r="AD8" i="11" s="1"/>
  <c r="AC7" i="11"/>
  <c r="AD7" i="11" s="1"/>
  <c r="AD6" i="11"/>
  <c r="AC5" i="11"/>
  <c r="AD5" i="11" s="1"/>
  <c r="AD4" i="11"/>
  <c r="R67" i="11"/>
  <c r="S67" i="11" s="1"/>
  <c r="R66" i="11"/>
  <c r="S66" i="11" s="1"/>
  <c r="R65" i="11"/>
  <c r="S65" i="11" s="1"/>
  <c r="R64" i="11"/>
  <c r="S64" i="11" s="1"/>
  <c r="R63" i="11"/>
  <c r="S63" i="11" s="1"/>
  <c r="R62" i="11"/>
  <c r="S62" i="11" s="1"/>
  <c r="R61" i="11"/>
  <c r="S61" i="11" s="1"/>
  <c r="R55" i="11"/>
  <c r="S55" i="11" s="1"/>
  <c r="R54" i="11"/>
  <c r="S54" i="11" s="1"/>
  <c r="R50" i="11"/>
  <c r="S50" i="11" s="1"/>
  <c r="R49" i="11"/>
  <c r="S49" i="11" s="1"/>
  <c r="T49" i="11" s="1"/>
  <c r="R48" i="11"/>
  <c r="S48" i="11" s="1"/>
  <c r="R43" i="11"/>
  <c r="S43" i="11" s="1"/>
  <c r="R39" i="11"/>
  <c r="S39" i="11" s="1"/>
  <c r="R34" i="11"/>
  <c r="S34" i="11" s="1"/>
  <c r="R33" i="11"/>
  <c r="S33" i="11" s="1"/>
  <c r="R30" i="11"/>
  <c r="S30" i="11" s="1"/>
  <c r="R29" i="11"/>
  <c r="S29" i="11" s="1"/>
  <c r="R28" i="11"/>
  <c r="S28" i="11" s="1"/>
  <c r="T28" i="11" s="1"/>
  <c r="R27" i="11"/>
  <c r="S27" i="11" s="1"/>
  <c r="R26" i="11"/>
  <c r="S26" i="11" s="1"/>
  <c r="R25" i="11"/>
  <c r="S25" i="11" s="1"/>
  <c r="R24" i="11"/>
  <c r="S24" i="11" s="1"/>
  <c r="R21" i="11"/>
  <c r="S21" i="11" s="1"/>
  <c r="R20" i="11"/>
  <c r="S20" i="11" s="1"/>
  <c r="T20" i="11" s="1"/>
  <c r="R17" i="11"/>
  <c r="S17" i="11" s="1"/>
  <c r="R16" i="11"/>
  <c r="S16" i="11" s="1"/>
  <c r="R15" i="11"/>
  <c r="S15" i="11" s="1"/>
  <c r="T15" i="11" s="1"/>
  <c r="R14" i="11"/>
  <c r="S14" i="11" s="1"/>
  <c r="R13" i="11"/>
  <c r="S13" i="11" s="1"/>
  <c r="R10" i="11"/>
  <c r="S10" i="11" s="1"/>
  <c r="R9" i="11"/>
  <c r="S9" i="11" s="1"/>
  <c r="R8" i="11"/>
  <c r="S8" i="11" s="1"/>
  <c r="R7" i="11"/>
  <c r="S7" i="11" s="1"/>
  <c r="R6" i="11"/>
  <c r="S6" i="11" s="1"/>
  <c r="R5" i="11"/>
  <c r="R4" i="11"/>
  <c r="R3" i="11"/>
  <c r="G66" i="11"/>
  <c r="H66" i="11" s="1"/>
  <c r="I66" i="11" s="1"/>
  <c r="G65" i="11"/>
  <c r="H65" i="11" s="1"/>
  <c r="I65" i="11" s="1"/>
  <c r="G64" i="11"/>
  <c r="H64" i="11" s="1"/>
  <c r="I64" i="11" s="1"/>
  <c r="G63" i="11"/>
  <c r="H63" i="11" s="1"/>
  <c r="I63" i="11" s="1"/>
  <c r="G62" i="11"/>
  <c r="H62" i="11" s="1"/>
  <c r="I62" i="11" s="1"/>
  <c r="G61" i="11"/>
  <c r="H61" i="11" s="1"/>
  <c r="I61" i="11" s="1"/>
  <c r="G56" i="11"/>
  <c r="H56" i="11" s="1"/>
  <c r="G55" i="11"/>
  <c r="H55" i="11" s="1"/>
  <c r="G54" i="11"/>
  <c r="H54" i="11" s="1"/>
  <c r="I54" i="11" s="1"/>
  <c r="J54" i="11" s="1"/>
  <c r="G53" i="11"/>
  <c r="H53" i="11" s="1"/>
  <c r="G50" i="11"/>
  <c r="H50" i="11" s="1"/>
  <c r="G49" i="11"/>
  <c r="H49" i="11" s="1"/>
  <c r="I49" i="11" s="1"/>
  <c r="J49" i="11" s="1"/>
  <c r="G48" i="11"/>
  <c r="H48" i="11" s="1"/>
  <c r="G47" i="11"/>
  <c r="H47" i="11" s="1"/>
  <c r="G46" i="11"/>
  <c r="H46" i="11" s="1"/>
  <c r="I46" i="11" s="1"/>
  <c r="J46" i="11" s="1"/>
  <c r="G45" i="11"/>
  <c r="H45" i="11" s="1"/>
  <c r="G44" i="11"/>
  <c r="H44" i="11" s="1"/>
  <c r="G43" i="11"/>
  <c r="H43" i="11" s="1"/>
  <c r="I43" i="11" s="1"/>
  <c r="J43" i="11" s="1"/>
  <c r="G42" i="11"/>
  <c r="H42" i="11" s="1"/>
  <c r="G41" i="11"/>
  <c r="H41" i="11" s="1"/>
  <c r="G40" i="11"/>
  <c r="H40" i="11" s="1"/>
  <c r="I40" i="11" s="1"/>
  <c r="J40" i="11" s="1"/>
  <c r="G39" i="11"/>
  <c r="H39" i="11" s="1"/>
  <c r="G38" i="11"/>
  <c r="H38" i="11" s="1"/>
  <c r="G37" i="11"/>
  <c r="H37" i="11" s="1"/>
  <c r="I37" i="11" s="1"/>
  <c r="J37" i="11" s="1"/>
  <c r="G36" i="11"/>
  <c r="H36" i="11" s="1"/>
  <c r="G35" i="11"/>
  <c r="H35" i="11" s="1"/>
  <c r="G34" i="11"/>
  <c r="H34" i="11" s="1"/>
  <c r="I34" i="11" s="1"/>
  <c r="J34" i="11" s="1"/>
  <c r="G33" i="11"/>
  <c r="H33" i="11" s="1"/>
  <c r="G32" i="11"/>
  <c r="H32" i="11" s="1"/>
  <c r="G31" i="11"/>
  <c r="H31" i="11" s="1"/>
  <c r="I31" i="11" s="1"/>
  <c r="J31" i="11" s="1"/>
  <c r="G30" i="11"/>
  <c r="H30" i="11" s="1"/>
  <c r="G29" i="11"/>
  <c r="H29" i="11" s="1"/>
  <c r="G28" i="11"/>
  <c r="H28" i="11" s="1"/>
  <c r="I28" i="11" s="1"/>
  <c r="J28" i="11" s="1"/>
  <c r="G27" i="11"/>
  <c r="H27" i="11" s="1"/>
  <c r="G26" i="11"/>
  <c r="H26" i="11" s="1"/>
  <c r="G25" i="11"/>
  <c r="H25" i="11" s="1"/>
  <c r="I25" i="11" s="1"/>
  <c r="J25" i="11" s="1"/>
  <c r="G24" i="11"/>
  <c r="H24" i="11" s="1"/>
  <c r="G23" i="11"/>
  <c r="H23" i="11" s="1"/>
  <c r="G22" i="11"/>
  <c r="H22" i="11" s="1"/>
  <c r="I22" i="11" s="1"/>
  <c r="J22" i="11" s="1"/>
  <c r="G21" i="11"/>
  <c r="H21" i="11" s="1"/>
  <c r="G20" i="11"/>
  <c r="H20" i="11" s="1"/>
  <c r="G19" i="11"/>
  <c r="H19" i="11" s="1"/>
  <c r="I19" i="11" s="1"/>
  <c r="J19" i="11" s="1"/>
  <c r="G18" i="11"/>
  <c r="H18" i="11" s="1"/>
  <c r="G17" i="11"/>
  <c r="H17" i="11" s="1"/>
  <c r="G16" i="11"/>
  <c r="H16" i="11" s="1"/>
  <c r="I16" i="11" s="1"/>
  <c r="J16" i="11" s="1"/>
  <c r="G15" i="11"/>
  <c r="H15" i="11" s="1"/>
  <c r="G12" i="11"/>
  <c r="H12" i="11" s="1"/>
  <c r="G11" i="11"/>
  <c r="H11" i="11" s="1"/>
  <c r="I11" i="11" s="1"/>
  <c r="J11" i="11" s="1"/>
  <c r="G10" i="11"/>
  <c r="H10" i="11" s="1"/>
  <c r="G9" i="11"/>
  <c r="H9" i="11" s="1"/>
  <c r="G8" i="11"/>
  <c r="G7" i="11"/>
  <c r="G6" i="11"/>
  <c r="G5" i="11"/>
  <c r="G4" i="11"/>
  <c r="H4" i="11" s="1"/>
  <c r="H3" i="11"/>
  <c r="I5" i="11" l="1"/>
  <c r="J5" i="11" s="1"/>
  <c r="AE22" i="11"/>
  <c r="AF22" i="11" s="1"/>
  <c r="AE49" i="11"/>
  <c r="AF49" i="11" s="1"/>
  <c r="AE28" i="11"/>
  <c r="AF28" i="11" s="1"/>
  <c r="AE34" i="11"/>
  <c r="AF34" i="11" s="1"/>
  <c r="AE13" i="11"/>
  <c r="AF13" i="11" s="1"/>
  <c r="AE40" i="11"/>
  <c r="AF40" i="11" s="1"/>
  <c r="AE19" i="11"/>
  <c r="AF19" i="11" s="1"/>
  <c r="AE46" i="11"/>
  <c r="AF46" i="11" s="1"/>
  <c r="AE52" i="11"/>
  <c r="AF52" i="11" s="1"/>
  <c r="AE4" i="11"/>
  <c r="AF4" i="11" s="1"/>
  <c r="AE31" i="11"/>
  <c r="AF31" i="11" s="1"/>
  <c r="AE10" i="11"/>
  <c r="AF10" i="11" s="1"/>
  <c r="AE16" i="11"/>
  <c r="AF16" i="11" s="1"/>
  <c r="AE37" i="11"/>
  <c r="AF37" i="11" s="1"/>
  <c r="AE12" i="11"/>
  <c r="AF12" i="11" s="1"/>
  <c r="AE30" i="11"/>
  <c r="AF30" i="11" s="1"/>
  <c r="AE48" i="11"/>
  <c r="AF48" i="11" s="1"/>
  <c r="AE7" i="11"/>
  <c r="AF7" i="11" s="1"/>
  <c r="AE15" i="11"/>
  <c r="AF15" i="11" s="1"/>
  <c r="AE20" i="11"/>
  <c r="AF20" i="11" s="1"/>
  <c r="AE25" i="11"/>
  <c r="AF25" i="11" s="1"/>
  <c r="AE33" i="11"/>
  <c r="AF33" i="11" s="1"/>
  <c r="AE38" i="11"/>
  <c r="AF38" i="11" s="1"/>
  <c r="AE43" i="11"/>
  <c r="AF43" i="11" s="1"/>
  <c r="AE51" i="11"/>
  <c r="AF51" i="11" s="1"/>
  <c r="AE5" i="11"/>
  <c r="AF5" i="11" s="1"/>
  <c r="AE18" i="11"/>
  <c r="AF18" i="11" s="1"/>
  <c r="AE23" i="11"/>
  <c r="AF23" i="11" s="1"/>
  <c r="AE36" i="11"/>
  <c r="AF36" i="11" s="1"/>
  <c r="AE41" i="11"/>
  <c r="AF41" i="11" s="1"/>
  <c r="AE3" i="11"/>
  <c r="AE8" i="11"/>
  <c r="AF8" i="11" s="1"/>
  <c r="AE21" i="11"/>
  <c r="AF21" i="11" s="1"/>
  <c r="AE26" i="11"/>
  <c r="AF26" i="11" s="1"/>
  <c r="AE39" i="11"/>
  <c r="AF39" i="11" s="1"/>
  <c r="AE44" i="11"/>
  <c r="AF44" i="11" s="1"/>
  <c r="AE6" i="11"/>
  <c r="AF6" i="11" s="1"/>
  <c r="AE11" i="11"/>
  <c r="AF11" i="11" s="1"/>
  <c r="AE24" i="11"/>
  <c r="AF24" i="11" s="1"/>
  <c r="AE29" i="11"/>
  <c r="AF29" i="11" s="1"/>
  <c r="AE42" i="11"/>
  <c r="AF42" i="11" s="1"/>
  <c r="AE47" i="11"/>
  <c r="AF47" i="11" s="1"/>
  <c r="AE9" i="11"/>
  <c r="AF9" i="11" s="1"/>
  <c r="AE27" i="11"/>
  <c r="AF27" i="11" s="1"/>
  <c r="AE45" i="11"/>
  <c r="AF45" i="11" s="1"/>
  <c r="T17" i="11"/>
  <c r="U17" i="11" s="1"/>
  <c r="T30" i="11"/>
  <c r="U30" i="11" s="1"/>
  <c r="T43" i="11"/>
  <c r="U43" i="11" s="1"/>
  <c r="T67" i="11"/>
  <c r="U67" i="11" s="1"/>
  <c r="T13" i="11"/>
  <c r="U13" i="11" s="1"/>
  <c r="T50" i="11"/>
  <c r="U50" i="11" s="1"/>
  <c r="T3" i="11"/>
  <c r="T14" i="11"/>
  <c r="U14" i="11" s="1"/>
  <c r="T27" i="11"/>
  <c r="U27" i="11" s="1"/>
  <c r="T21" i="11"/>
  <c r="U21" i="11" s="1"/>
  <c r="T34" i="11"/>
  <c r="U34" i="11" s="1"/>
  <c r="T48" i="11"/>
  <c r="U48" i="11" s="1"/>
  <c r="T61" i="11"/>
  <c r="U61" i="11" s="1"/>
  <c r="T6" i="11"/>
  <c r="U6" i="11" s="1"/>
  <c r="T55" i="11"/>
  <c r="U55" i="11" s="1"/>
  <c r="T26" i="11"/>
  <c r="U26" i="11" s="1"/>
  <c r="T63" i="11"/>
  <c r="U63" i="11" s="1"/>
  <c r="T39" i="11"/>
  <c r="U39" i="11" s="1"/>
  <c r="T64" i="11"/>
  <c r="U64" i="11" s="1"/>
  <c r="T8" i="11"/>
  <c r="U8" i="11" s="1"/>
  <c r="T33" i="11"/>
  <c r="U33" i="11" s="1"/>
  <c r="T9" i="11"/>
  <c r="U9" i="11" s="1"/>
  <c r="T24" i="11"/>
  <c r="U24" i="11" s="1"/>
  <c r="T16" i="11"/>
  <c r="U16" i="11" s="1"/>
  <c r="T29" i="11"/>
  <c r="U29" i="11" s="1"/>
  <c r="T54" i="11"/>
  <c r="U54" i="11" s="1"/>
  <c r="T66" i="11"/>
  <c r="U66" i="11" s="1"/>
  <c r="T7" i="11"/>
  <c r="U7" i="11" s="1"/>
  <c r="T25" i="11"/>
  <c r="U25" i="11" s="1"/>
  <c r="T62" i="11"/>
  <c r="U62" i="11" s="1"/>
  <c r="T65" i="11"/>
  <c r="U65" i="11" s="1"/>
  <c r="U15" i="11"/>
  <c r="U20" i="11"/>
  <c r="U28" i="11"/>
  <c r="U49" i="11"/>
  <c r="T10" i="11"/>
  <c r="U10" i="11" s="1"/>
  <c r="I9" i="11"/>
  <c r="J9" i="11" s="1"/>
  <c r="I15" i="11"/>
  <c r="J15" i="11" s="1"/>
  <c r="I29" i="11"/>
  <c r="J29" i="11" s="1"/>
  <c r="I33" i="11"/>
  <c r="J33" i="11" s="1"/>
  <c r="I47" i="11"/>
  <c r="J47" i="11" s="1"/>
  <c r="I53" i="11"/>
  <c r="J53" i="11" s="1"/>
  <c r="I10" i="11"/>
  <c r="J10" i="11" s="1"/>
  <c r="I26" i="11"/>
  <c r="J26" i="11" s="1"/>
  <c r="I30" i="11"/>
  <c r="J30" i="11" s="1"/>
  <c r="I44" i="11"/>
  <c r="J44" i="11" s="1"/>
  <c r="I48" i="11"/>
  <c r="J48" i="11" s="1"/>
  <c r="I3" i="11"/>
  <c r="I7" i="11"/>
  <c r="J7" i="11" s="1"/>
  <c r="I23" i="11"/>
  <c r="J23" i="11" s="1"/>
  <c r="I27" i="11"/>
  <c r="J27" i="11" s="1"/>
  <c r="I41" i="11"/>
  <c r="J41" i="11" s="1"/>
  <c r="I45" i="11"/>
  <c r="J45" i="11" s="1"/>
  <c r="I4" i="11"/>
  <c r="J4" i="11" s="1"/>
  <c r="I20" i="11"/>
  <c r="J20" i="11" s="1"/>
  <c r="I24" i="11"/>
  <c r="J24" i="11" s="1"/>
  <c r="I38" i="11"/>
  <c r="J38" i="11" s="1"/>
  <c r="I42" i="11"/>
  <c r="J42" i="11" s="1"/>
  <c r="I17" i="11"/>
  <c r="J17" i="11" s="1"/>
  <c r="I21" i="11"/>
  <c r="J21" i="11" s="1"/>
  <c r="I35" i="11"/>
  <c r="J35" i="11" s="1"/>
  <c r="I39" i="11"/>
  <c r="J39" i="11" s="1"/>
  <c r="I55" i="11"/>
  <c r="J55" i="11" s="1"/>
  <c r="I12" i="11"/>
  <c r="J12" i="11" s="1"/>
  <c r="I18" i="11"/>
  <c r="J18" i="11" s="1"/>
  <c r="I32" i="11"/>
  <c r="J32" i="11" s="1"/>
  <c r="I36" i="11"/>
  <c r="J36" i="11" s="1"/>
  <c r="I50" i="11"/>
  <c r="J50" i="11" s="1"/>
  <c r="I56" i="11"/>
  <c r="J56" i="11" s="1"/>
  <c r="R68" i="10"/>
  <c r="S68" i="10" s="1"/>
  <c r="T68" i="10" s="1"/>
  <c r="R67" i="10"/>
  <c r="S67" i="10" s="1"/>
  <c r="T67" i="10" s="1"/>
  <c r="R51" i="10"/>
  <c r="S51" i="10" s="1"/>
  <c r="R43" i="10"/>
  <c r="R42" i="10"/>
  <c r="R41" i="10"/>
  <c r="R37" i="10"/>
  <c r="R36" i="10"/>
  <c r="R26" i="10"/>
  <c r="R25" i="10"/>
  <c r="T68" i="11" l="1"/>
  <c r="J3" i="11"/>
  <c r="I57" i="11"/>
  <c r="AE53" i="11"/>
  <c r="U3" i="11"/>
  <c r="AF3" i="11"/>
  <c r="S25" i="10"/>
  <c r="T51" i="10"/>
  <c r="U51" i="10" s="1"/>
  <c r="S36" i="10"/>
  <c r="T36" i="10" s="1"/>
  <c r="U36" i="10" s="1"/>
  <c r="S41" i="10"/>
  <c r="T41" i="10" s="1"/>
  <c r="U41" i="10" s="1"/>
  <c r="T25" i="10"/>
  <c r="U25" i="10" s="1"/>
  <c r="R20" i="10"/>
  <c r="R19" i="10"/>
  <c r="R18" i="10"/>
  <c r="S18" i="10" s="1"/>
  <c r="Q17" i="10"/>
  <c r="R16" i="10"/>
  <c r="R23" i="10"/>
  <c r="Q22" i="10"/>
  <c r="R21" i="10"/>
  <c r="R10" i="10"/>
  <c r="R9" i="10"/>
  <c r="R6" i="10"/>
  <c r="R5" i="10"/>
  <c r="F3" i="10"/>
  <c r="G4" i="10"/>
  <c r="H3" i="10" s="1"/>
  <c r="AB7" i="10"/>
  <c r="S21" i="10" l="1"/>
  <c r="S19" i="10"/>
  <c r="T19" i="10" s="1"/>
  <c r="U19" i="10" s="1"/>
  <c r="T18" i="10"/>
  <c r="U18" i="10" s="1"/>
  <c r="S16" i="10"/>
  <c r="T16" i="10" s="1"/>
  <c r="U16" i="10" s="1"/>
  <c r="T21" i="10"/>
  <c r="U21" i="10" s="1"/>
  <c r="S9" i="10"/>
  <c r="T9" i="10" s="1"/>
  <c r="U9" i="10" s="1"/>
  <c r="S5" i="10"/>
  <c r="T5" i="10" s="1"/>
  <c r="U5" i="10" s="1"/>
  <c r="I3" i="10"/>
  <c r="AC4" i="10"/>
  <c r="AD4" i="10" s="1"/>
  <c r="AC11" i="10"/>
  <c r="AD11" i="10" s="1"/>
  <c r="AC12" i="10"/>
  <c r="AD12" i="10" s="1"/>
  <c r="AE12" i="10" s="1"/>
  <c r="AC13" i="10"/>
  <c r="AD13" i="10" s="1"/>
  <c r="AE13" i="10" s="1"/>
  <c r="AF13" i="10" s="1"/>
  <c r="AC14" i="10"/>
  <c r="AD14" i="10" s="1"/>
  <c r="AE14" i="10" s="1"/>
  <c r="AF14" i="10" s="1"/>
  <c r="AC15" i="10"/>
  <c r="AD15" i="10" s="1"/>
  <c r="AE15" i="10" s="1"/>
  <c r="AC16" i="10"/>
  <c r="AD16" i="10" s="1"/>
  <c r="AE16" i="10" s="1"/>
  <c r="AC17" i="10"/>
  <c r="AD17" i="10" s="1"/>
  <c r="AC19" i="10"/>
  <c r="AD19" i="10" s="1"/>
  <c r="AE19" i="10" s="1"/>
  <c r="AC20" i="10"/>
  <c r="AD20" i="10" s="1"/>
  <c r="AE20" i="10" s="1"/>
  <c r="AF20" i="10" s="1"/>
  <c r="AC21" i="10"/>
  <c r="AD21" i="10" s="1"/>
  <c r="AE21" i="10" s="1"/>
  <c r="AF21" i="10" s="1"/>
  <c r="AC22" i="10"/>
  <c r="AD22" i="10" s="1"/>
  <c r="AC23" i="10"/>
  <c r="AD23" i="10" s="1"/>
  <c r="AE23" i="10" s="1"/>
  <c r="AC24" i="10"/>
  <c r="AD24" i="10" s="1"/>
  <c r="AE24" i="10" s="1"/>
  <c r="AC25" i="10"/>
  <c r="AD25" i="10" s="1"/>
  <c r="AE25" i="10" s="1"/>
  <c r="AC26" i="10"/>
  <c r="AD26" i="10" s="1"/>
  <c r="AE26" i="10" s="1"/>
  <c r="AC27" i="10"/>
  <c r="AD27" i="10" s="1"/>
  <c r="AE27" i="10" s="1"/>
  <c r="AF27" i="10" s="1"/>
  <c r="AC28" i="10"/>
  <c r="AD28" i="10" s="1"/>
  <c r="AC29" i="10"/>
  <c r="AD29" i="10" s="1"/>
  <c r="AE29" i="10" s="1"/>
  <c r="AC30" i="10"/>
  <c r="AD30" i="10" s="1"/>
  <c r="AC31" i="10"/>
  <c r="AD31" i="10" s="1"/>
  <c r="AE31" i="10" s="1"/>
  <c r="AC32" i="10"/>
  <c r="AD32" i="10" s="1"/>
  <c r="AE32" i="10" s="1"/>
  <c r="AC33" i="10"/>
  <c r="AD33" i="10" s="1"/>
  <c r="AE33" i="10" s="1"/>
  <c r="AF33" i="10" s="1"/>
  <c r="AC34" i="10"/>
  <c r="AD34" i="10" s="1"/>
  <c r="AE34" i="10" s="1"/>
  <c r="AC35" i="10"/>
  <c r="AD35" i="10" s="1"/>
  <c r="AE35" i="10" s="1"/>
  <c r="AF35" i="10" s="1"/>
  <c r="AC36" i="10"/>
  <c r="AD36" i="10" s="1"/>
  <c r="AC37" i="10"/>
  <c r="AD37" i="10" s="1"/>
  <c r="AE37" i="10" s="1"/>
  <c r="AC38" i="10"/>
  <c r="AD38" i="10" s="1"/>
  <c r="AE38" i="10" s="1"/>
  <c r="AF38" i="10" s="1"/>
  <c r="AC39" i="10"/>
  <c r="AD39" i="10" s="1"/>
  <c r="AE39" i="10" s="1"/>
  <c r="AC40" i="10"/>
  <c r="AD40" i="10" s="1"/>
  <c r="AC41" i="10"/>
  <c r="AD41" i="10" s="1"/>
  <c r="AE41" i="10" s="1"/>
  <c r="AF41" i="10" s="1"/>
  <c r="AC42" i="10"/>
  <c r="AD42" i="10" s="1"/>
  <c r="AE42" i="10" s="1"/>
  <c r="AC43" i="10"/>
  <c r="AD43" i="10" s="1"/>
  <c r="AE43" i="10" s="1"/>
  <c r="AC44" i="10"/>
  <c r="AD44" i="10" s="1"/>
  <c r="AE44" i="10" s="1"/>
  <c r="AF44" i="10" s="1"/>
  <c r="AC45" i="10"/>
  <c r="AD45" i="10" s="1"/>
  <c r="AE45" i="10" s="1"/>
  <c r="AF45" i="10" s="1"/>
  <c r="AC46" i="10"/>
  <c r="AD46" i="10" s="1"/>
  <c r="AE46" i="10" s="1"/>
  <c r="AF46" i="10" s="1"/>
  <c r="AC47" i="10"/>
  <c r="AD47" i="10" s="1"/>
  <c r="AE47" i="10" s="1"/>
  <c r="AF47" i="10" s="1"/>
  <c r="AC48" i="10"/>
  <c r="AD48" i="10" s="1"/>
  <c r="AC49" i="10"/>
  <c r="AD49" i="10" s="1"/>
  <c r="AE49" i="10" s="1"/>
  <c r="AC50" i="10"/>
  <c r="AD50" i="10" s="1"/>
  <c r="AE50" i="10" s="1"/>
  <c r="AF50" i="10" s="1"/>
  <c r="AC51" i="10"/>
  <c r="AD51" i="10" s="1"/>
  <c r="AE51" i="10" s="1"/>
  <c r="AF51" i="10" s="1"/>
  <c r="AC52" i="10"/>
  <c r="AD52" i="10" s="1"/>
  <c r="AE52" i="10" s="1"/>
  <c r="AC5" i="10"/>
  <c r="AD5" i="10" s="1"/>
  <c r="AE5" i="10" s="1"/>
  <c r="AC6" i="10"/>
  <c r="AD6" i="10" s="1"/>
  <c r="AE6" i="10" s="1"/>
  <c r="AD7" i="10"/>
  <c r="AE7" i="10" s="1"/>
  <c r="AF7" i="10" s="1"/>
  <c r="AC8" i="10"/>
  <c r="AD8" i="10" s="1"/>
  <c r="AE8" i="10" s="1"/>
  <c r="AF8" i="10" s="1"/>
  <c r="AC9" i="10"/>
  <c r="AD9" i="10" s="1"/>
  <c r="AE9" i="10" s="1"/>
  <c r="AC10" i="10"/>
  <c r="AD10" i="10" s="1"/>
  <c r="AE10" i="10" s="1"/>
  <c r="AF10" i="10" s="1"/>
  <c r="AC3" i="10"/>
  <c r="AD3" i="10" s="1"/>
  <c r="AE3" i="10" s="1"/>
  <c r="G64" i="10"/>
  <c r="H64" i="10" s="1"/>
  <c r="I64" i="10" s="1"/>
  <c r="G63" i="10"/>
  <c r="H63" i="10" s="1"/>
  <c r="I63" i="10" s="1"/>
  <c r="G62" i="10"/>
  <c r="H62" i="10" s="1"/>
  <c r="I62" i="10" s="1"/>
  <c r="G61" i="10"/>
  <c r="H61" i="10" s="1"/>
  <c r="I61" i="10" s="1"/>
  <c r="G60" i="10"/>
  <c r="H60" i="10" s="1"/>
  <c r="I60" i="10" s="1"/>
  <c r="G59" i="10"/>
  <c r="H59" i="10" s="1"/>
  <c r="I59" i="10" s="1"/>
  <c r="G58" i="10"/>
  <c r="H58" i="10" s="1"/>
  <c r="I58" i="10" s="1"/>
  <c r="R63" i="10"/>
  <c r="S63" i="10" s="1"/>
  <c r="R62" i="10"/>
  <c r="S62" i="10" s="1"/>
  <c r="T62" i="10" s="1"/>
  <c r="R61" i="10"/>
  <c r="S61" i="10" s="1"/>
  <c r="R60" i="10"/>
  <c r="S60" i="10" s="1"/>
  <c r="T60" i="10" s="1"/>
  <c r="R59" i="10"/>
  <c r="S59" i="10" s="1"/>
  <c r="R58" i="10"/>
  <c r="S58" i="10" s="1"/>
  <c r="R57" i="10"/>
  <c r="S57" i="10" s="1"/>
  <c r="T57" i="10" s="1"/>
  <c r="R56" i="10"/>
  <c r="S56" i="10" s="1"/>
  <c r="R55" i="10"/>
  <c r="S55" i="10" s="1"/>
  <c r="R54" i="10"/>
  <c r="S54" i="10" s="1"/>
  <c r="R53" i="10"/>
  <c r="S53" i="10" s="1"/>
  <c r="R50" i="10"/>
  <c r="S50" i="10" s="1"/>
  <c r="T50" i="10" s="1"/>
  <c r="R49" i="10"/>
  <c r="S49" i="10" s="1"/>
  <c r="R48" i="10"/>
  <c r="S48" i="10" s="1"/>
  <c r="R47" i="10"/>
  <c r="S47" i="10" s="1"/>
  <c r="T47" i="10" s="1"/>
  <c r="R46" i="10"/>
  <c r="S46" i="10" s="1"/>
  <c r="R45" i="10"/>
  <c r="S45" i="10" s="1"/>
  <c r="R44" i="10"/>
  <c r="S44" i="10" s="1"/>
  <c r="R40" i="10"/>
  <c r="S40" i="10" s="1"/>
  <c r="R39" i="10"/>
  <c r="S39" i="10" s="1"/>
  <c r="T39" i="10" s="1"/>
  <c r="R38" i="10"/>
  <c r="R35" i="10"/>
  <c r="S35" i="10" s="1"/>
  <c r="T35" i="10" s="1"/>
  <c r="R34" i="10"/>
  <c r="S34" i="10" s="1"/>
  <c r="R33" i="10"/>
  <c r="S33" i="10" s="1"/>
  <c r="T33" i="10" s="1"/>
  <c r="U33" i="10" s="1"/>
  <c r="R32" i="10"/>
  <c r="S32" i="10" s="1"/>
  <c r="R31" i="10"/>
  <c r="S31" i="10" s="1"/>
  <c r="T31" i="10" s="1"/>
  <c r="R30" i="10"/>
  <c r="S30" i="10" s="1"/>
  <c r="R29" i="10"/>
  <c r="S29" i="10" s="1"/>
  <c r="T29" i="10" s="1"/>
  <c r="R28" i="10"/>
  <c r="S28" i="10" s="1"/>
  <c r="R27" i="10"/>
  <c r="S27" i="10" s="1"/>
  <c r="T27" i="10" s="1"/>
  <c r="U27" i="10" s="1"/>
  <c r="R24" i="10"/>
  <c r="S24" i="10" s="1"/>
  <c r="T24" i="10" s="1"/>
  <c r="U24" i="10" s="1"/>
  <c r="R15" i="10"/>
  <c r="S15" i="10" s="1"/>
  <c r="T15" i="10" s="1"/>
  <c r="R14" i="10"/>
  <c r="S14" i="10" s="1"/>
  <c r="R13" i="10"/>
  <c r="S13" i="10" s="1"/>
  <c r="T13" i="10" s="1"/>
  <c r="U13" i="10" s="1"/>
  <c r="R11" i="10"/>
  <c r="S11" i="10" s="1"/>
  <c r="R8" i="10"/>
  <c r="S8" i="10" s="1"/>
  <c r="R7" i="10"/>
  <c r="S7" i="10" s="1"/>
  <c r="S4" i="10"/>
  <c r="T4" i="10" s="1"/>
  <c r="S3" i="10"/>
  <c r="G53" i="10"/>
  <c r="H53" i="10" s="1"/>
  <c r="G52" i="10"/>
  <c r="H52" i="10" s="1"/>
  <c r="G51" i="10"/>
  <c r="H51" i="10" s="1"/>
  <c r="G50" i="10"/>
  <c r="H50" i="10" s="1"/>
  <c r="G49" i="10"/>
  <c r="H49" i="10" s="1"/>
  <c r="I49" i="10" s="1"/>
  <c r="G48" i="10"/>
  <c r="H48" i="10" s="1"/>
  <c r="G47" i="10"/>
  <c r="H47" i="10" s="1"/>
  <c r="G46" i="10"/>
  <c r="H46" i="10" s="1"/>
  <c r="G45" i="10"/>
  <c r="H45" i="10" s="1"/>
  <c r="I45" i="10" s="1"/>
  <c r="J45" i="10" s="1"/>
  <c r="G44" i="10"/>
  <c r="H44" i="10" s="1"/>
  <c r="G43" i="10"/>
  <c r="H43" i="10" s="1"/>
  <c r="G42" i="10"/>
  <c r="H42" i="10" s="1"/>
  <c r="G41" i="10"/>
  <c r="H41" i="10" s="1"/>
  <c r="G40" i="10"/>
  <c r="H40" i="10" s="1"/>
  <c r="I40" i="10" s="1"/>
  <c r="G39" i="10"/>
  <c r="H39" i="10" s="1"/>
  <c r="G38" i="10"/>
  <c r="H38" i="10" s="1"/>
  <c r="I38" i="10" s="1"/>
  <c r="G37" i="10"/>
  <c r="H37" i="10" s="1"/>
  <c r="G36" i="10"/>
  <c r="H36" i="10" s="1"/>
  <c r="G35" i="10"/>
  <c r="H35" i="10" s="1"/>
  <c r="G34" i="10"/>
  <c r="H34" i="10" s="1"/>
  <c r="I34" i="10" s="1"/>
  <c r="G33" i="10"/>
  <c r="H33" i="10" s="1"/>
  <c r="G32" i="10"/>
  <c r="H32" i="10" s="1"/>
  <c r="G31" i="10"/>
  <c r="H31" i="10" s="1"/>
  <c r="I31" i="10" s="1"/>
  <c r="G30" i="10"/>
  <c r="H30" i="10" s="1"/>
  <c r="G29" i="10"/>
  <c r="H29" i="10" s="1"/>
  <c r="I29" i="10" s="1"/>
  <c r="G28" i="10"/>
  <c r="H28" i="10" s="1"/>
  <c r="G27" i="10"/>
  <c r="H27" i="10" s="1"/>
  <c r="I27" i="10" s="1"/>
  <c r="J27" i="10" s="1"/>
  <c r="G26" i="10"/>
  <c r="H26" i="10" s="1"/>
  <c r="I26" i="10" s="1"/>
  <c r="G25" i="10"/>
  <c r="H25" i="10" s="1"/>
  <c r="G24" i="10"/>
  <c r="H24" i="10" s="1"/>
  <c r="I24" i="10" s="1"/>
  <c r="J24" i="10" s="1"/>
  <c r="G23" i="10"/>
  <c r="H23" i="10" s="1"/>
  <c r="G22" i="10"/>
  <c r="H22" i="10" s="1"/>
  <c r="I22" i="10" s="1"/>
  <c r="G21" i="10"/>
  <c r="H21" i="10" s="1"/>
  <c r="G20" i="10"/>
  <c r="H20" i="10" s="1"/>
  <c r="I20" i="10" s="1"/>
  <c r="G19" i="10"/>
  <c r="H19" i="10" s="1"/>
  <c r="G17" i="10"/>
  <c r="H17" i="10" s="1"/>
  <c r="I17" i="10" s="1"/>
  <c r="J17" i="10" s="1"/>
  <c r="G16" i="10"/>
  <c r="H16" i="10" s="1"/>
  <c r="G15" i="10"/>
  <c r="H15" i="10" s="1"/>
  <c r="G14" i="10"/>
  <c r="H14" i="10" s="1"/>
  <c r="I14" i="10" s="1"/>
  <c r="J14" i="10" s="1"/>
  <c r="G13" i="10"/>
  <c r="H13" i="10" s="1"/>
  <c r="G12" i="10"/>
  <c r="H12" i="10" s="1"/>
  <c r="I12" i="10" s="1"/>
  <c r="G11" i="10"/>
  <c r="H11" i="10" s="1"/>
  <c r="G10" i="10"/>
  <c r="H10" i="10" s="1"/>
  <c r="I10" i="10" s="1"/>
  <c r="G9" i="10"/>
  <c r="H9" i="10" s="1"/>
  <c r="G8" i="10"/>
  <c r="H8" i="10" s="1"/>
  <c r="I8" i="10" s="1"/>
  <c r="J8" i="10" s="1"/>
  <c r="G7" i="10"/>
  <c r="H7" i="10" s="1"/>
  <c r="G6" i="10"/>
  <c r="H6" i="10" s="1"/>
  <c r="G5" i="10"/>
  <c r="H5" i="10" s="1"/>
  <c r="J3" i="10" l="1"/>
  <c r="AF42" i="10"/>
  <c r="AF26" i="10"/>
  <c r="AF12" i="10"/>
  <c r="AF43" i="10"/>
  <c r="AF52" i="10"/>
  <c r="AF25" i="10"/>
  <c r="AF37" i="10"/>
  <c r="AF16" i="10"/>
  <c r="AF19" i="10"/>
  <c r="AF31" i="10"/>
  <c r="AF49" i="10"/>
  <c r="T53" i="10"/>
  <c r="U53" i="10" s="1"/>
  <c r="T59" i="10"/>
  <c r="U59" i="10" s="1"/>
  <c r="T7" i="10"/>
  <c r="U7" i="10" s="1"/>
  <c r="I43" i="10"/>
  <c r="J43" i="10" s="1"/>
  <c r="T49" i="10"/>
  <c r="U49" i="10" s="1"/>
  <c r="I15" i="10"/>
  <c r="J15" i="10" s="1"/>
  <c r="T11" i="10"/>
  <c r="U11" i="10" s="1"/>
  <c r="I6" i="10"/>
  <c r="J6" i="10" s="1"/>
  <c r="I25" i="10"/>
  <c r="J25" i="10" s="1"/>
  <c r="I36" i="10"/>
  <c r="J36" i="10" s="1"/>
  <c r="I47" i="10"/>
  <c r="J47" i="10" s="1"/>
  <c r="I52" i="10"/>
  <c r="J52" i="10" s="1"/>
  <c r="T34" i="10"/>
  <c r="U34" i="10" s="1"/>
  <c r="U47" i="10"/>
  <c r="AF39" i="10"/>
  <c r="AF32" i="10"/>
  <c r="J34" i="10"/>
  <c r="AF9" i="10"/>
  <c r="U57" i="10"/>
  <c r="AF23" i="10"/>
  <c r="AF29" i="10"/>
  <c r="AF6" i="10"/>
  <c r="I7" i="10"/>
  <c r="J7" i="10" s="1"/>
  <c r="I16" i="10"/>
  <c r="J16" i="10" s="1"/>
  <c r="I35" i="10"/>
  <c r="J35" i="10" s="1"/>
  <c r="I44" i="10"/>
  <c r="J44" i="10" s="1"/>
  <c r="I53" i="10"/>
  <c r="J53" i="10" s="1"/>
  <c r="I30" i="10"/>
  <c r="J30" i="10" s="1"/>
  <c r="I50" i="10"/>
  <c r="J50" i="10" s="1"/>
  <c r="T28" i="10"/>
  <c r="U28" i="10" s="1"/>
  <c r="T40" i="10"/>
  <c r="U40" i="10" s="1"/>
  <c r="J12" i="10"/>
  <c r="J26" i="10"/>
  <c r="I33" i="10"/>
  <c r="J33" i="10" s="1"/>
  <c r="I39" i="10"/>
  <c r="J39" i="10" s="1"/>
  <c r="T8" i="10"/>
  <c r="U8" i="10" s="1"/>
  <c r="T38" i="10"/>
  <c r="U38" i="10" s="1"/>
  <c r="U50" i="10"/>
  <c r="AE11" i="10"/>
  <c r="AF11" i="10" s="1"/>
  <c r="I13" i="10"/>
  <c r="J13" i="10" s="1"/>
  <c r="I42" i="10"/>
  <c r="J42" i="10" s="1"/>
  <c r="I48" i="10"/>
  <c r="J48" i="10" s="1"/>
  <c r="T48" i="10"/>
  <c r="U48" i="10" s="1"/>
  <c r="AE30" i="10"/>
  <c r="AF30" i="10" s="1"/>
  <c r="J20" i="10"/>
  <c r="I23" i="10"/>
  <c r="J23" i="10" s="1"/>
  <c r="J31" i="10"/>
  <c r="I46" i="10"/>
  <c r="J46" i="10" s="1"/>
  <c r="I51" i="10"/>
  <c r="J51" i="10" s="1"/>
  <c r="U29" i="10"/>
  <c r="T32" i="10"/>
  <c r="U32" i="10" s="1"/>
  <c r="T46" i="10"/>
  <c r="U46" i="10" s="1"/>
  <c r="U62" i="10"/>
  <c r="AF34" i="10"/>
  <c r="AE28" i="10"/>
  <c r="AF28" i="10" s="1"/>
  <c r="AE22" i="10"/>
  <c r="AF22" i="10" s="1"/>
  <c r="AE4" i="10"/>
  <c r="AF4" i="10" s="1"/>
  <c r="I5" i="10"/>
  <c r="J5" i="10" s="1"/>
  <c r="I11" i="10"/>
  <c r="J11" i="10" s="1"/>
  <c r="J29" i="10"/>
  <c r="I32" i="10"/>
  <c r="J32" i="10" s="1"/>
  <c r="J40" i="10"/>
  <c r="T3" i="10"/>
  <c r="U3" i="10" s="1"/>
  <c r="U39" i="10"/>
  <c r="T44" i="10"/>
  <c r="U44" i="10" s="1"/>
  <c r="T55" i="10"/>
  <c r="U55" i="10" s="1"/>
  <c r="U60" i="10"/>
  <c r="T63" i="10"/>
  <c r="U63" i="10" s="1"/>
  <c r="AF15" i="10"/>
  <c r="AE36" i="10"/>
  <c r="AF36" i="10" s="1"/>
  <c r="AE40" i="10"/>
  <c r="AF40" i="10" s="1"/>
  <c r="I9" i="10"/>
  <c r="J9" i="10" s="1"/>
  <c r="I21" i="10"/>
  <c r="J21" i="10" s="1"/>
  <c r="J38" i="10"/>
  <c r="I41" i="10"/>
  <c r="J41" i="10" s="1"/>
  <c r="J49" i="10"/>
  <c r="T14" i="10"/>
  <c r="U14" i="10" s="1"/>
  <c r="T30" i="10"/>
  <c r="U30" i="10" s="1"/>
  <c r="T58" i="10"/>
  <c r="U58" i="10" s="1"/>
  <c r="AF5" i="10"/>
  <c r="I19" i="10"/>
  <c r="J19" i="10" s="1"/>
  <c r="T56" i="10"/>
  <c r="U56" i="10" s="1"/>
  <c r="I28" i="10"/>
  <c r="J28" i="10" s="1"/>
  <c r="U4" i="10"/>
  <c r="U35" i="10"/>
  <c r="T45" i="10"/>
  <c r="U45" i="10" s="1"/>
  <c r="T54" i="10"/>
  <c r="U54" i="10" s="1"/>
  <c r="AE48" i="10"/>
  <c r="AF48" i="10" s="1"/>
  <c r="AF24" i="10"/>
  <c r="AE17" i="10"/>
  <c r="AF17" i="10" s="1"/>
  <c r="J10" i="10"/>
  <c r="J22" i="10"/>
  <c r="I37" i="10"/>
  <c r="J37" i="10" s="1"/>
  <c r="U15" i="10"/>
  <c r="U31" i="10"/>
  <c r="T61" i="10"/>
  <c r="U61" i="10" s="1"/>
  <c r="AF3" i="10"/>
  <c r="R51" i="9"/>
  <c r="R50" i="9"/>
  <c r="AE53" i="10" l="1"/>
  <c r="I54" i="10"/>
  <c r="T64" i="10"/>
  <c r="S50" i="9"/>
  <c r="T50" i="9" s="1"/>
  <c r="U50" i="9" s="1"/>
  <c r="F18" i="9"/>
  <c r="G19" i="9"/>
  <c r="H18" i="9"/>
  <c r="F16" i="9"/>
  <c r="AC10" i="9"/>
  <c r="R54" i="9"/>
  <c r="R53" i="9"/>
  <c r="R48" i="9"/>
  <c r="R47" i="9"/>
  <c r="R46" i="9"/>
  <c r="R45" i="9"/>
  <c r="S45" i="9" s="1"/>
  <c r="Q38" i="9"/>
  <c r="R39" i="9"/>
  <c r="R37" i="9"/>
  <c r="S37" i="9" s="1"/>
  <c r="R36" i="9"/>
  <c r="R35" i="9"/>
  <c r="R34" i="9"/>
  <c r="R33" i="9"/>
  <c r="R32" i="9"/>
  <c r="R27" i="9"/>
  <c r="R26" i="9"/>
  <c r="S47" i="9" l="1"/>
  <c r="T47" i="9" s="1"/>
  <c r="U47" i="9" s="1"/>
  <c r="I18" i="9"/>
  <c r="J18" i="9" s="1"/>
  <c r="S53" i="9"/>
  <c r="T53" i="9" s="1"/>
  <c r="U53" i="9" s="1"/>
  <c r="S35" i="9"/>
  <c r="T35" i="9" s="1"/>
  <c r="U35" i="9" s="1"/>
  <c r="T45" i="9"/>
  <c r="U45" i="9" s="1"/>
  <c r="T37" i="9"/>
  <c r="U37" i="9" s="1"/>
  <c r="S26" i="9"/>
  <c r="T26" i="9" s="1"/>
  <c r="U26" i="9" s="1"/>
  <c r="S32" i="9"/>
  <c r="T32" i="9" s="1"/>
  <c r="U32" i="9" s="1"/>
  <c r="AC6" i="9"/>
  <c r="AD6" i="9" s="1"/>
  <c r="AC5" i="9"/>
  <c r="AD5" i="9" s="1"/>
  <c r="AE5" i="9" l="1"/>
  <c r="AE6" i="9"/>
  <c r="AF6" i="9" s="1"/>
  <c r="R18" i="9"/>
  <c r="R17" i="9"/>
  <c r="Q15" i="9"/>
  <c r="R14" i="9"/>
  <c r="R13" i="9"/>
  <c r="R12" i="9"/>
  <c r="R11" i="9"/>
  <c r="R10" i="9"/>
  <c r="R9" i="9"/>
  <c r="R5" i="9"/>
  <c r="R4" i="9"/>
  <c r="R3" i="9"/>
  <c r="R6" i="9"/>
  <c r="S6" i="9" s="1"/>
  <c r="F12" i="9"/>
  <c r="F11" i="9"/>
  <c r="F10" i="9"/>
  <c r="G8" i="9"/>
  <c r="G7" i="9"/>
  <c r="F5" i="9"/>
  <c r="G6" i="9"/>
  <c r="H5" i="9" s="1"/>
  <c r="G64" i="9"/>
  <c r="H64" i="9" s="1"/>
  <c r="I64" i="9" s="1"/>
  <c r="G63" i="9"/>
  <c r="H63" i="9" s="1"/>
  <c r="I63" i="9" s="1"/>
  <c r="G62" i="9"/>
  <c r="H62" i="9" s="1"/>
  <c r="I62" i="9" s="1"/>
  <c r="G61" i="9"/>
  <c r="H61" i="9" s="1"/>
  <c r="I61" i="9" s="1"/>
  <c r="G60" i="9"/>
  <c r="H60" i="9" s="1"/>
  <c r="I60" i="9" s="1"/>
  <c r="G59" i="9"/>
  <c r="H59" i="9" s="1"/>
  <c r="I59" i="9" s="1"/>
  <c r="AC52" i="9"/>
  <c r="AD52" i="9" s="1"/>
  <c r="AC51" i="9"/>
  <c r="AD51" i="9" s="1"/>
  <c r="AC50" i="9"/>
  <c r="AD50" i="9" s="1"/>
  <c r="AE50" i="9" s="1"/>
  <c r="AF50" i="9" s="1"/>
  <c r="AC49" i="9"/>
  <c r="AD49" i="9" s="1"/>
  <c r="AC48" i="9"/>
  <c r="AD48" i="9" s="1"/>
  <c r="AC47" i="9"/>
  <c r="AD47" i="9" s="1"/>
  <c r="AE47" i="9" s="1"/>
  <c r="AF47" i="9" s="1"/>
  <c r="AC46" i="9"/>
  <c r="AD46" i="9" s="1"/>
  <c r="AC45" i="9"/>
  <c r="AD45" i="9" s="1"/>
  <c r="AC44" i="9"/>
  <c r="AD44" i="9" s="1"/>
  <c r="AE44" i="9" s="1"/>
  <c r="AC43" i="9"/>
  <c r="AD43" i="9" s="1"/>
  <c r="AC42" i="9"/>
  <c r="AD42" i="9" s="1"/>
  <c r="AC41" i="9"/>
  <c r="AD41" i="9" s="1"/>
  <c r="AC40" i="9"/>
  <c r="AD40" i="9" s="1"/>
  <c r="AE40" i="9" s="1"/>
  <c r="AC39" i="9"/>
  <c r="AD39" i="9" s="1"/>
  <c r="AC38" i="9"/>
  <c r="AD38" i="9" s="1"/>
  <c r="AC37" i="9"/>
  <c r="AD37" i="9" s="1"/>
  <c r="AE37" i="9" s="1"/>
  <c r="AC36" i="9"/>
  <c r="AD36" i="9" s="1"/>
  <c r="AC35" i="9"/>
  <c r="AD35" i="9" s="1"/>
  <c r="AC34" i="9"/>
  <c r="AD34" i="9" s="1"/>
  <c r="AC33" i="9"/>
  <c r="AD33" i="9" s="1"/>
  <c r="AC32" i="9"/>
  <c r="AD32" i="9" s="1"/>
  <c r="AE32" i="9" s="1"/>
  <c r="AF32" i="9" s="1"/>
  <c r="AC31" i="9"/>
  <c r="AD31" i="9" s="1"/>
  <c r="AC30" i="9"/>
  <c r="AD30" i="9" s="1"/>
  <c r="AC29" i="9"/>
  <c r="AD29" i="9" s="1"/>
  <c r="AC28" i="9"/>
  <c r="AD28" i="9" s="1"/>
  <c r="AC27" i="9"/>
  <c r="AD27" i="9" s="1"/>
  <c r="AC26" i="9"/>
  <c r="AD26" i="9" s="1"/>
  <c r="AE26" i="9" s="1"/>
  <c r="AC25" i="9"/>
  <c r="AD25" i="9" s="1"/>
  <c r="AC24" i="9"/>
  <c r="AD24" i="9" s="1"/>
  <c r="AC23" i="9"/>
  <c r="AD23" i="9" s="1"/>
  <c r="AC22" i="9"/>
  <c r="AD22" i="9" s="1"/>
  <c r="AC21" i="9"/>
  <c r="AD21" i="9" s="1"/>
  <c r="AC20" i="9"/>
  <c r="AD20" i="9" s="1"/>
  <c r="AE20" i="9" s="1"/>
  <c r="AC19" i="9"/>
  <c r="AD19" i="9" s="1"/>
  <c r="AE19" i="9" s="1"/>
  <c r="AC18" i="9"/>
  <c r="AD18" i="9" s="1"/>
  <c r="AC17" i="9"/>
  <c r="AD17" i="9" s="1"/>
  <c r="AC16" i="9"/>
  <c r="AD16" i="9" s="1"/>
  <c r="AC15" i="9"/>
  <c r="AD15" i="9" s="1"/>
  <c r="AC14" i="9"/>
  <c r="AD14" i="9" s="1"/>
  <c r="AE14" i="9" s="1"/>
  <c r="AF14" i="9" s="1"/>
  <c r="AC13" i="9"/>
  <c r="AD13" i="9" s="1"/>
  <c r="AC12" i="9"/>
  <c r="AD12" i="9" s="1"/>
  <c r="AD11" i="9"/>
  <c r="AE11" i="9" s="1"/>
  <c r="AF11" i="9" s="1"/>
  <c r="AD10" i="9"/>
  <c r="AD9" i="9"/>
  <c r="AC8" i="9"/>
  <c r="AD8" i="9" s="1"/>
  <c r="AE8" i="9" s="1"/>
  <c r="AC7" i="9"/>
  <c r="AD7" i="9" s="1"/>
  <c r="R68" i="9"/>
  <c r="S68" i="9" s="1"/>
  <c r="R67" i="9"/>
  <c r="S67" i="9" s="1"/>
  <c r="R66" i="9"/>
  <c r="S66" i="9" s="1"/>
  <c r="T66" i="9" s="1"/>
  <c r="U66" i="9" s="1"/>
  <c r="R65" i="9"/>
  <c r="S65" i="9" s="1"/>
  <c r="R64" i="9"/>
  <c r="S64" i="9" s="1"/>
  <c r="R63" i="9"/>
  <c r="S63" i="9" s="1"/>
  <c r="R62" i="9"/>
  <c r="S62" i="9" s="1"/>
  <c r="R61" i="9"/>
  <c r="S61" i="9" s="1"/>
  <c r="R60" i="9"/>
  <c r="S60" i="9" s="1"/>
  <c r="R59" i="9"/>
  <c r="S59" i="9" s="1"/>
  <c r="R58" i="9"/>
  <c r="S58" i="9" s="1"/>
  <c r="R57" i="9"/>
  <c r="S57" i="9" s="1"/>
  <c r="R56" i="9"/>
  <c r="S56" i="9" s="1"/>
  <c r="R55" i="9"/>
  <c r="S55" i="9" s="1"/>
  <c r="R52" i="9"/>
  <c r="S52" i="9" s="1"/>
  <c r="R49" i="9"/>
  <c r="S49" i="9" s="1"/>
  <c r="T49" i="9" s="1"/>
  <c r="U49" i="9" s="1"/>
  <c r="R44" i="9"/>
  <c r="S44" i="9" s="1"/>
  <c r="T44" i="9" s="1"/>
  <c r="U44" i="9" s="1"/>
  <c r="R43" i="9"/>
  <c r="S43" i="9" s="1"/>
  <c r="R42" i="9"/>
  <c r="S42" i="9" s="1"/>
  <c r="R41" i="9"/>
  <c r="S41" i="9" s="1"/>
  <c r="R40" i="9"/>
  <c r="S40" i="9" s="1"/>
  <c r="R31" i="9"/>
  <c r="S31" i="9" s="1"/>
  <c r="R30" i="9"/>
  <c r="S30" i="9" s="1"/>
  <c r="R29" i="9"/>
  <c r="S29" i="9" s="1"/>
  <c r="R28" i="9"/>
  <c r="S28" i="9" s="1"/>
  <c r="R25" i="9"/>
  <c r="S25" i="9" s="1"/>
  <c r="R24" i="9"/>
  <c r="S24" i="9" s="1"/>
  <c r="R23" i="9"/>
  <c r="S23" i="9" s="1"/>
  <c r="T23" i="9" s="1"/>
  <c r="U23" i="9" s="1"/>
  <c r="R22" i="9"/>
  <c r="S22" i="9" s="1"/>
  <c r="R21" i="9"/>
  <c r="S21" i="9" s="1"/>
  <c r="R20" i="9"/>
  <c r="S20" i="9" s="1"/>
  <c r="T20" i="9" s="1"/>
  <c r="U20" i="9" s="1"/>
  <c r="R19" i="9"/>
  <c r="S19" i="9" s="1"/>
  <c r="R16" i="9"/>
  <c r="S16" i="9" s="1"/>
  <c r="S15" i="9"/>
  <c r="R8" i="9"/>
  <c r="S8" i="9" s="1"/>
  <c r="R7" i="9"/>
  <c r="S7" i="9" s="1"/>
  <c r="G55" i="9"/>
  <c r="H55" i="9" s="1"/>
  <c r="G54" i="9"/>
  <c r="H54" i="9" s="1"/>
  <c r="G53" i="9"/>
  <c r="H53" i="9" s="1"/>
  <c r="I53" i="9" s="1"/>
  <c r="G52" i="9"/>
  <c r="H52" i="9" s="1"/>
  <c r="G51" i="9"/>
  <c r="H51" i="9" s="1"/>
  <c r="G50" i="9"/>
  <c r="H50" i="9" s="1"/>
  <c r="I50" i="9" s="1"/>
  <c r="G49" i="9"/>
  <c r="H49" i="9" s="1"/>
  <c r="G48" i="9"/>
  <c r="H48" i="9" s="1"/>
  <c r="G47" i="9"/>
  <c r="H47" i="9" s="1"/>
  <c r="I47" i="9" s="1"/>
  <c r="G46" i="9"/>
  <c r="H46" i="9" s="1"/>
  <c r="G45" i="9"/>
  <c r="H45" i="9" s="1"/>
  <c r="G44" i="9"/>
  <c r="H44" i="9" s="1"/>
  <c r="I44" i="9" s="1"/>
  <c r="G43" i="9"/>
  <c r="H43" i="9" s="1"/>
  <c r="G42" i="9"/>
  <c r="H42" i="9" s="1"/>
  <c r="G41" i="9"/>
  <c r="H41" i="9" s="1"/>
  <c r="I41" i="9" s="1"/>
  <c r="G40" i="9"/>
  <c r="H40" i="9" s="1"/>
  <c r="G39" i="9"/>
  <c r="H39" i="9" s="1"/>
  <c r="G38" i="9"/>
  <c r="H38" i="9" s="1"/>
  <c r="I38" i="9" s="1"/>
  <c r="G37" i="9"/>
  <c r="H37" i="9" s="1"/>
  <c r="G36" i="9"/>
  <c r="H36" i="9" s="1"/>
  <c r="G35" i="9"/>
  <c r="H35" i="9" s="1"/>
  <c r="I35" i="9" s="1"/>
  <c r="G34" i="9"/>
  <c r="H34" i="9" s="1"/>
  <c r="G33" i="9"/>
  <c r="H33" i="9" s="1"/>
  <c r="G32" i="9"/>
  <c r="H32" i="9" s="1"/>
  <c r="I32" i="9" s="1"/>
  <c r="G31" i="9"/>
  <c r="H31" i="9" s="1"/>
  <c r="G30" i="9"/>
  <c r="H30" i="9" s="1"/>
  <c r="G29" i="9"/>
  <c r="H29" i="9" s="1"/>
  <c r="I29" i="9" s="1"/>
  <c r="G28" i="9"/>
  <c r="H28" i="9" s="1"/>
  <c r="G27" i="9"/>
  <c r="H27" i="9" s="1"/>
  <c r="G26" i="9"/>
  <c r="H26" i="9" s="1"/>
  <c r="I26" i="9" s="1"/>
  <c r="G25" i="9"/>
  <c r="H25" i="9" s="1"/>
  <c r="G24" i="9"/>
  <c r="H24" i="9" s="1"/>
  <c r="G23" i="9"/>
  <c r="H23" i="9" s="1"/>
  <c r="I23" i="9" s="1"/>
  <c r="G22" i="9"/>
  <c r="H22" i="9" s="1"/>
  <c r="I22" i="9" s="1"/>
  <c r="J22" i="9" s="1"/>
  <c r="G21" i="9"/>
  <c r="H21" i="9" s="1"/>
  <c r="G20" i="9"/>
  <c r="H20" i="9" s="1"/>
  <c r="I20" i="9" s="1"/>
  <c r="G17" i="9"/>
  <c r="H17" i="9" s="1"/>
  <c r="H16" i="9"/>
  <c r="I16" i="9" s="1"/>
  <c r="G15" i="9"/>
  <c r="H15" i="9" s="1"/>
  <c r="G14" i="9"/>
  <c r="H14" i="9" s="1"/>
  <c r="G13" i="9"/>
  <c r="H13" i="9" s="1"/>
  <c r="I13" i="9" s="1"/>
  <c r="H12" i="9"/>
  <c r="I12" i="9" s="1"/>
  <c r="J12" i="9" s="1"/>
  <c r="H11" i="9"/>
  <c r="H10" i="9"/>
  <c r="I10" i="9" s="1"/>
  <c r="G9" i="9"/>
  <c r="H9" i="9" s="1"/>
  <c r="G4" i="9"/>
  <c r="H4" i="9" s="1"/>
  <c r="G3" i="9"/>
  <c r="H3" i="9" s="1"/>
  <c r="AF5" i="9" l="1"/>
  <c r="I65" i="9"/>
  <c r="S13" i="9"/>
  <c r="T13" i="9" s="1"/>
  <c r="U13" i="9" s="1"/>
  <c r="S17" i="9"/>
  <c r="T17" i="9" s="1"/>
  <c r="U17" i="9" s="1"/>
  <c r="S11" i="9"/>
  <c r="T11" i="9" s="1"/>
  <c r="U11" i="9" s="1"/>
  <c r="S9" i="9"/>
  <c r="T9" i="9" s="1"/>
  <c r="U9" i="9" s="1"/>
  <c r="S3" i="9"/>
  <c r="T3" i="9" s="1"/>
  <c r="T6" i="9"/>
  <c r="U6" i="9" s="1"/>
  <c r="J38" i="9"/>
  <c r="I7" i="9"/>
  <c r="J7" i="9" s="1"/>
  <c r="J41" i="9"/>
  <c r="AE29" i="9"/>
  <c r="AF29" i="9" s="1"/>
  <c r="I5" i="9"/>
  <c r="J5" i="9" s="1"/>
  <c r="J32" i="9"/>
  <c r="J50" i="9"/>
  <c r="J29" i="9"/>
  <c r="J47" i="9"/>
  <c r="J35" i="9"/>
  <c r="J53" i="9"/>
  <c r="J44" i="9"/>
  <c r="AE13" i="9"/>
  <c r="AF13" i="9" s="1"/>
  <c r="AE49" i="9"/>
  <c r="AF49" i="9" s="1"/>
  <c r="AE31" i="9"/>
  <c r="AF31" i="9" s="1"/>
  <c r="AE10" i="9"/>
  <c r="AF10" i="9" s="1"/>
  <c r="AE28" i="9"/>
  <c r="AF28" i="9" s="1"/>
  <c r="AE46" i="9"/>
  <c r="AF46" i="9" s="1"/>
  <c r="AE7" i="9"/>
  <c r="AF7" i="9" s="1"/>
  <c r="AE16" i="9"/>
  <c r="AF16" i="9" s="1"/>
  <c r="AE25" i="9"/>
  <c r="AF25" i="9" s="1"/>
  <c r="AE34" i="9"/>
  <c r="AF34" i="9" s="1"/>
  <c r="AE43" i="9"/>
  <c r="AF43" i="9" s="1"/>
  <c r="AE52" i="9"/>
  <c r="AF52" i="9" s="1"/>
  <c r="AE27" i="9"/>
  <c r="AF27" i="9" s="1"/>
  <c r="AE12" i="9"/>
  <c r="AF12" i="9" s="1"/>
  <c r="AE17" i="9"/>
  <c r="AF17" i="9" s="1"/>
  <c r="AE22" i="9"/>
  <c r="AF22" i="9" s="1"/>
  <c r="AE35" i="9"/>
  <c r="AF35" i="9" s="1"/>
  <c r="AE51" i="9"/>
  <c r="AF51" i="9" s="1"/>
  <c r="AF20" i="9"/>
  <c r="AF8" i="9"/>
  <c r="AF19" i="9"/>
  <c r="AE24" i="9"/>
  <c r="AF24" i="9" s="1"/>
  <c r="AF26" i="9"/>
  <c r="AF37" i="9"/>
  <c r="AE42" i="9"/>
  <c r="AF42" i="9" s="1"/>
  <c r="AF44" i="9"/>
  <c r="AE9" i="9"/>
  <c r="AF9" i="9" s="1"/>
  <c r="AF40" i="9"/>
  <c r="AE45" i="9"/>
  <c r="AF45" i="9" s="1"/>
  <c r="AE30" i="9"/>
  <c r="AF30" i="9" s="1"/>
  <c r="AE48" i="9"/>
  <c r="AF48" i="9" s="1"/>
  <c r="AE15" i="9"/>
  <c r="AF15" i="9" s="1"/>
  <c r="AE33" i="9"/>
  <c r="AF33" i="9" s="1"/>
  <c r="AE38" i="9"/>
  <c r="AF38" i="9" s="1"/>
  <c r="AE18" i="9"/>
  <c r="AF18" i="9" s="1"/>
  <c r="AE23" i="9"/>
  <c r="AF23" i="9" s="1"/>
  <c r="AE36" i="9"/>
  <c r="AF36" i="9" s="1"/>
  <c r="AE41" i="9"/>
  <c r="AF41" i="9" s="1"/>
  <c r="AE21" i="9"/>
  <c r="AF21" i="9" s="1"/>
  <c r="AE39" i="9"/>
  <c r="AF39" i="9" s="1"/>
  <c r="T29" i="9"/>
  <c r="U29" i="9" s="1"/>
  <c r="T65" i="9"/>
  <c r="U65" i="9" s="1"/>
  <c r="T40" i="9"/>
  <c r="U40" i="9" s="1"/>
  <c r="T19" i="9"/>
  <c r="U19" i="9" s="1"/>
  <c r="T56" i="9"/>
  <c r="U56" i="9" s="1"/>
  <c r="T25" i="9"/>
  <c r="U25" i="9" s="1"/>
  <c r="T62" i="9"/>
  <c r="U62" i="9" s="1"/>
  <c r="T68" i="9"/>
  <c r="U68" i="9" s="1"/>
  <c r="T43" i="9"/>
  <c r="U43" i="9" s="1"/>
  <c r="T15" i="9"/>
  <c r="U15" i="9" s="1"/>
  <c r="T22" i="9"/>
  <c r="U22" i="9" s="1"/>
  <c r="T52" i="9"/>
  <c r="U52" i="9" s="1"/>
  <c r="T42" i="9"/>
  <c r="U42" i="9" s="1"/>
  <c r="T64" i="9"/>
  <c r="U64" i="9" s="1"/>
  <c r="T21" i="9"/>
  <c r="U21" i="9" s="1"/>
  <c r="T59" i="9"/>
  <c r="U59" i="9" s="1"/>
  <c r="T67" i="9"/>
  <c r="U67" i="9" s="1"/>
  <c r="T7" i="9"/>
  <c r="U7" i="9" s="1"/>
  <c r="T24" i="9"/>
  <c r="U24" i="9" s="1"/>
  <c r="T30" i="9"/>
  <c r="U30" i="9" s="1"/>
  <c r="T57" i="9"/>
  <c r="U57" i="9" s="1"/>
  <c r="T28" i="9"/>
  <c r="U28" i="9" s="1"/>
  <c r="T55" i="9"/>
  <c r="U55" i="9" s="1"/>
  <c r="T60" i="9"/>
  <c r="U60" i="9" s="1"/>
  <c r="T8" i="9"/>
  <c r="U8" i="9" s="1"/>
  <c r="T16" i="9"/>
  <c r="U16" i="9" s="1"/>
  <c r="T31" i="9"/>
  <c r="U31" i="9" s="1"/>
  <c r="T41" i="9"/>
  <c r="U41" i="9" s="1"/>
  <c r="T58" i="9"/>
  <c r="U58" i="9" s="1"/>
  <c r="T63" i="9"/>
  <c r="U63" i="9" s="1"/>
  <c r="T61" i="9"/>
  <c r="U61" i="9" s="1"/>
  <c r="I14" i="9"/>
  <c r="J14" i="9" s="1"/>
  <c r="I11" i="9"/>
  <c r="J11" i="9" s="1"/>
  <c r="I24" i="9"/>
  <c r="J24" i="9" s="1"/>
  <c r="I21" i="9"/>
  <c r="J21" i="9" s="1"/>
  <c r="I17" i="9"/>
  <c r="J17" i="9" s="1"/>
  <c r="I3" i="9"/>
  <c r="I27" i="9"/>
  <c r="J27" i="9" s="1"/>
  <c r="J10" i="9"/>
  <c r="J20" i="9"/>
  <c r="I30" i="9"/>
  <c r="J30" i="9" s="1"/>
  <c r="I33" i="9"/>
  <c r="J33" i="9" s="1"/>
  <c r="I36" i="9"/>
  <c r="J36" i="9" s="1"/>
  <c r="I39" i="9"/>
  <c r="J39" i="9" s="1"/>
  <c r="I42" i="9"/>
  <c r="J42" i="9" s="1"/>
  <c r="I45" i="9"/>
  <c r="J45" i="9" s="1"/>
  <c r="I48" i="9"/>
  <c r="J48" i="9" s="1"/>
  <c r="I51" i="9"/>
  <c r="J51" i="9" s="1"/>
  <c r="I54" i="9"/>
  <c r="J54" i="9" s="1"/>
  <c r="I4" i="9"/>
  <c r="J4" i="9" s="1"/>
  <c r="I15" i="9"/>
  <c r="J15" i="9" s="1"/>
  <c r="I25" i="9"/>
  <c r="J25" i="9" s="1"/>
  <c r="J13" i="9"/>
  <c r="J23" i="9"/>
  <c r="I9" i="9"/>
  <c r="J9" i="9" s="1"/>
  <c r="I28" i="9"/>
  <c r="J28" i="9" s="1"/>
  <c r="I31" i="9"/>
  <c r="J31" i="9" s="1"/>
  <c r="I34" i="9"/>
  <c r="J34" i="9" s="1"/>
  <c r="I37" i="9"/>
  <c r="J37" i="9" s="1"/>
  <c r="I40" i="9"/>
  <c r="J40" i="9" s="1"/>
  <c r="I43" i="9"/>
  <c r="J43" i="9" s="1"/>
  <c r="I46" i="9"/>
  <c r="J46" i="9" s="1"/>
  <c r="I49" i="9"/>
  <c r="J49" i="9" s="1"/>
  <c r="I52" i="9"/>
  <c r="J52" i="9" s="1"/>
  <c r="I55" i="9"/>
  <c r="J55" i="9" s="1"/>
  <c r="J16" i="9"/>
  <c r="J26" i="9"/>
  <c r="R44" i="8"/>
  <c r="R43" i="8"/>
  <c r="Q42" i="8"/>
  <c r="R40" i="8"/>
  <c r="R39" i="8"/>
  <c r="S39" i="8" s="1"/>
  <c r="R35" i="8"/>
  <c r="R34" i="8"/>
  <c r="G11" i="8"/>
  <c r="G10" i="8"/>
  <c r="F7" i="8"/>
  <c r="AE53" i="9" l="1"/>
  <c r="T69" i="9"/>
  <c r="J3" i="9"/>
  <c r="I56" i="9"/>
  <c r="U3" i="9"/>
  <c r="S43" i="8"/>
  <c r="T43" i="8" s="1"/>
  <c r="U43" i="8" s="1"/>
  <c r="T39" i="8"/>
  <c r="U39" i="8" s="1"/>
  <c r="S34" i="8"/>
  <c r="T34" i="8" s="1"/>
  <c r="U34" i="8" s="1"/>
  <c r="H10" i="8"/>
  <c r="I10" i="8" s="1"/>
  <c r="J10" i="8" s="1"/>
  <c r="R23" i="8"/>
  <c r="R22" i="8"/>
  <c r="R21" i="8"/>
  <c r="R20" i="8"/>
  <c r="S20" i="8" s="1"/>
  <c r="R17" i="8"/>
  <c r="R16" i="8"/>
  <c r="R11" i="8"/>
  <c r="R10" i="8"/>
  <c r="R7" i="8"/>
  <c r="R6" i="8"/>
  <c r="F4" i="8"/>
  <c r="AB3" i="8"/>
  <c r="AB7" i="8"/>
  <c r="R69" i="8"/>
  <c r="S69" i="8" s="1"/>
  <c r="T69" i="8" s="1"/>
  <c r="R68" i="8"/>
  <c r="S68" i="8" s="1"/>
  <c r="T68" i="8" s="1"/>
  <c r="R67" i="8"/>
  <c r="S67" i="8" s="1"/>
  <c r="T67" i="8" s="1"/>
  <c r="R66" i="8"/>
  <c r="S66" i="8" s="1"/>
  <c r="T66" i="8" s="1"/>
  <c r="R65" i="8"/>
  <c r="S65" i="8" s="1"/>
  <c r="T65" i="8" s="1"/>
  <c r="G62" i="8"/>
  <c r="H62" i="8" s="1"/>
  <c r="I62" i="8" s="1"/>
  <c r="G61" i="8"/>
  <c r="H61" i="8" s="1"/>
  <c r="I61" i="8" s="1"/>
  <c r="G60" i="8"/>
  <c r="H60" i="8" s="1"/>
  <c r="I60" i="8" s="1"/>
  <c r="G59" i="8"/>
  <c r="H59" i="8" s="1"/>
  <c r="I59" i="8" s="1"/>
  <c r="G58" i="8"/>
  <c r="H58" i="8" s="1"/>
  <c r="I58" i="8" s="1"/>
  <c r="AC52" i="8"/>
  <c r="AD52" i="8" s="1"/>
  <c r="AE52" i="8" s="1"/>
  <c r="AF52" i="8" s="1"/>
  <c r="AC51" i="8"/>
  <c r="AD51" i="8" s="1"/>
  <c r="AE51" i="8" s="1"/>
  <c r="AF51" i="8" s="1"/>
  <c r="AC50" i="8"/>
  <c r="AD50" i="8" s="1"/>
  <c r="AC49" i="8"/>
  <c r="AD49" i="8" s="1"/>
  <c r="AE49" i="8" s="1"/>
  <c r="AF49" i="8" s="1"/>
  <c r="AC48" i="8"/>
  <c r="AD48" i="8" s="1"/>
  <c r="AC47" i="8"/>
  <c r="AD47" i="8" s="1"/>
  <c r="AC46" i="8"/>
  <c r="AD46" i="8" s="1"/>
  <c r="AE46" i="8" s="1"/>
  <c r="AF46" i="8" s="1"/>
  <c r="AC45" i="8"/>
  <c r="AD45" i="8" s="1"/>
  <c r="AC44" i="8"/>
  <c r="AD44" i="8" s="1"/>
  <c r="AC43" i="8"/>
  <c r="AD43" i="8" s="1"/>
  <c r="AE43" i="8" s="1"/>
  <c r="AF43" i="8" s="1"/>
  <c r="AC42" i="8"/>
  <c r="AD42" i="8" s="1"/>
  <c r="AC41" i="8"/>
  <c r="AD41" i="8" s="1"/>
  <c r="AC40" i="8"/>
  <c r="AD40" i="8" s="1"/>
  <c r="AE40" i="8" s="1"/>
  <c r="AF40" i="8" s="1"/>
  <c r="AC39" i="8"/>
  <c r="AD39" i="8" s="1"/>
  <c r="AC38" i="8"/>
  <c r="AD38" i="8" s="1"/>
  <c r="AC37" i="8"/>
  <c r="AD37" i="8" s="1"/>
  <c r="AE37" i="8" s="1"/>
  <c r="AF37" i="8" s="1"/>
  <c r="AC36" i="8"/>
  <c r="AD36" i="8" s="1"/>
  <c r="AC35" i="8"/>
  <c r="AD35" i="8" s="1"/>
  <c r="AC34" i="8"/>
  <c r="AD34" i="8" s="1"/>
  <c r="AE34" i="8" s="1"/>
  <c r="AF34" i="8" s="1"/>
  <c r="AC33" i="8"/>
  <c r="AD33" i="8" s="1"/>
  <c r="AC32" i="8"/>
  <c r="AD32" i="8" s="1"/>
  <c r="AC31" i="8"/>
  <c r="AD31" i="8" s="1"/>
  <c r="AE31" i="8" s="1"/>
  <c r="AF31" i="8" s="1"/>
  <c r="AC30" i="8"/>
  <c r="AD30" i="8" s="1"/>
  <c r="AC29" i="8"/>
  <c r="AD29" i="8" s="1"/>
  <c r="AC28" i="8"/>
  <c r="AD28" i="8" s="1"/>
  <c r="AE28" i="8" s="1"/>
  <c r="AF28" i="8" s="1"/>
  <c r="AC27" i="8"/>
  <c r="AD27" i="8" s="1"/>
  <c r="AC26" i="8"/>
  <c r="AD26" i="8" s="1"/>
  <c r="AC25" i="8"/>
  <c r="AD25" i="8" s="1"/>
  <c r="AE25" i="8" s="1"/>
  <c r="AF25" i="8" s="1"/>
  <c r="AC24" i="8"/>
  <c r="AD24" i="8" s="1"/>
  <c r="AC23" i="8"/>
  <c r="AD23" i="8" s="1"/>
  <c r="AC22" i="8"/>
  <c r="AD22" i="8" s="1"/>
  <c r="AE22" i="8" s="1"/>
  <c r="AF22" i="8" s="1"/>
  <c r="AC21" i="8"/>
  <c r="AD21" i="8" s="1"/>
  <c r="AE21" i="8" s="1"/>
  <c r="AC20" i="8"/>
  <c r="AD20" i="8" s="1"/>
  <c r="AC19" i="8"/>
  <c r="AD19" i="8" s="1"/>
  <c r="AE19" i="8" s="1"/>
  <c r="AF19" i="8" s="1"/>
  <c r="AC18" i="8"/>
  <c r="AD18" i="8" s="1"/>
  <c r="AC17" i="8"/>
  <c r="AD17" i="8" s="1"/>
  <c r="AC16" i="8"/>
  <c r="AD16" i="8" s="1"/>
  <c r="AE16" i="8" s="1"/>
  <c r="AF16" i="8" s="1"/>
  <c r="AC15" i="8"/>
  <c r="AD15" i="8" s="1"/>
  <c r="AC14" i="8"/>
  <c r="AD14" i="8" s="1"/>
  <c r="AC13" i="8"/>
  <c r="AD13" i="8" s="1"/>
  <c r="AE13" i="8" s="1"/>
  <c r="AF13" i="8" s="1"/>
  <c r="AC12" i="8"/>
  <c r="AD12" i="8" s="1"/>
  <c r="AC11" i="8"/>
  <c r="AD11" i="8" s="1"/>
  <c r="AC10" i="8"/>
  <c r="AD10" i="8" s="1"/>
  <c r="AC9" i="8"/>
  <c r="AD9" i="8" s="1"/>
  <c r="AC8" i="8"/>
  <c r="AD8" i="8" s="1"/>
  <c r="AD7" i="8"/>
  <c r="AC6" i="8"/>
  <c r="AD6" i="8" s="1"/>
  <c r="AC5" i="8"/>
  <c r="AD5" i="8" s="1"/>
  <c r="AC4" i="8"/>
  <c r="AD4" i="8" s="1"/>
  <c r="AD3" i="8"/>
  <c r="R60" i="8"/>
  <c r="S60" i="8" s="1"/>
  <c r="R59" i="8"/>
  <c r="S59" i="8" s="1"/>
  <c r="R58" i="8"/>
  <c r="S58" i="8" s="1"/>
  <c r="R57" i="8"/>
  <c r="S57" i="8" s="1"/>
  <c r="R56" i="8"/>
  <c r="S56" i="8" s="1"/>
  <c r="R55" i="8"/>
  <c r="S55" i="8" s="1"/>
  <c r="R54" i="8"/>
  <c r="S54" i="8" s="1"/>
  <c r="R53" i="8"/>
  <c r="S53" i="8" s="1"/>
  <c r="R52" i="8"/>
  <c r="S52" i="8" s="1"/>
  <c r="R51" i="8"/>
  <c r="S51" i="8" s="1"/>
  <c r="R50" i="8"/>
  <c r="S50" i="8" s="1"/>
  <c r="R49" i="8"/>
  <c r="S49" i="8" s="1"/>
  <c r="R48" i="8"/>
  <c r="S48" i="8" s="1"/>
  <c r="R47" i="8"/>
  <c r="S47" i="8" s="1"/>
  <c r="R46" i="8"/>
  <c r="S46" i="8" s="1"/>
  <c r="R45" i="8"/>
  <c r="S45" i="8" s="1"/>
  <c r="S42" i="8"/>
  <c r="R41" i="8"/>
  <c r="S41" i="8" s="1"/>
  <c r="R38" i="8"/>
  <c r="S38" i="8" s="1"/>
  <c r="R37" i="8"/>
  <c r="S37" i="8" s="1"/>
  <c r="S36" i="8"/>
  <c r="R33" i="8"/>
  <c r="S33" i="8" s="1"/>
  <c r="R32" i="8"/>
  <c r="S32" i="8" s="1"/>
  <c r="R31" i="8"/>
  <c r="S31" i="8" s="1"/>
  <c r="R30" i="8"/>
  <c r="S30" i="8" s="1"/>
  <c r="R29" i="8"/>
  <c r="S29" i="8" s="1"/>
  <c r="R28" i="8"/>
  <c r="S28" i="8" s="1"/>
  <c r="R27" i="8"/>
  <c r="S27" i="8" s="1"/>
  <c r="R26" i="8"/>
  <c r="S26" i="8" s="1"/>
  <c r="R25" i="8"/>
  <c r="S25" i="8" s="1"/>
  <c r="R24" i="8"/>
  <c r="S24" i="8" s="1"/>
  <c r="R19" i="8"/>
  <c r="S19" i="8" s="1"/>
  <c r="R18" i="8"/>
  <c r="S18" i="8" s="1"/>
  <c r="R15" i="8"/>
  <c r="S15" i="8" s="1"/>
  <c r="R14" i="8"/>
  <c r="S14" i="8" s="1"/>
  <c r="R13" i="8"/>
  <c r="S13" i="8" s="1"/>
  <c r="R12" i="8"/>
  <c r="S12" i="8" s="1"/>
  <c r="R9" i="8"/>
  <c r="S9" i="8" s="1"/>
  <c r="R8" i="8"/>
  <c r="S8" i="8" s="1"/>
  <c r="R5" i="8"/>
  <c r="S5" i="8" s="1"/>
  <c r="R4" i="8"/>
  <c r="S4" i="8" s="1"/>
  <c r="R3" i="8"/>
  <c r="S3" i="8" s="1"/>
  <c r="G53" i="8"/>
  <c r="H53" i="8" s="1"/>
  <c r="G52" i="8"/>
  <c r="H52" i="8" s="1"/>
  <c r="G51" i="8"/>
  <c r="H51" i="8" s="1"/>
  <c r="I51" i="8" s="1"/>
  <c r="J51" i="8" s="1"/>
  <c r="G50" i="8"/>
  <c r="H50" i="8" s="1"/>
  <c r="G49" i="8"/>
  <c r="H49" i="8" s="1"/>
  <c r="G48" i="8"/>
  <c r="H48" i="8" s="1"/>
  <c r="I48" i="8" s="1"/>
  <c r="J48" i="8" s="1"/>
  <c r="G47" i="8"/>
  <c r="H47" i="8" s="1"/>
  <c r="G46" i="8"/>
  <c r="H46" i="8" s="1"/>
  <c r="G45" i="8"/>
  <c r="H45" i="8" s="1"/>
  <c r="I45" i="8" s="1"/>
  <c r="J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I39" i="8" s="1"/>
  <c r="G38" i="8"/>
  <c r="H38" i="8" s="1"/>
  <c r="G37" i="8"/>
  <c r="H37" i="8" s="1"/>
  <c r="G36" i="8"/>
  <c r="H36" i="8" s="1"/>
  <c r="I36" i="8" s="1"/>
  <c r="J36" i="8" s="1"/>
  <c r="G35" i="8"/>
  <c r="H35" i="8" s="1"/>
  <c r="G34" i="8"/>
  <c r="H34" i="8" s="1"/>
  <c r="G33" i="8"/>
  <c r="H33" i="8" s="1"/>
  <c r="I33" i="8" s="1"/>
  <c r="J33" i="8" s="1"/>
  <c r="G32" i="8"/>
  <c r="H32" i="8" s="1"/>
  <c r="G31" i="8"/>
  <c r="H31" i="8" s="1"/>
  <c r="G30" i="8"/>
  <c r="H30" i="8" s="1"/>
  <c r="I30" i="8" s="1"/>
  <c r="J30" i="8" s="1"/>
  <c r="G29" i="8"/>
  <c r="H29" i="8" s="1"/>
  <c r="G28" i="8"/>
  <c r="H28" i="8" s="1"/>
  <c r="G27" i="8"/>
  <c r="H27" i="8" s="1"/>
  <c r="I27" i="8" s="1"/>
  <c r="J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I18" i="8" s="1"/>
  <c r="J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9" i="8"/>
  <c r="H9" i="8" s="1"/>
  <c r="G8" i="8"/>
  <c r="H8" i="8" s="1"/>
  <c r="I8" i="8" s="1"/>
  <c r="J8" i="8" s="1"/>
  <c r="H7" i="8"/>
  <c r="G6" i="8"/>
  <c r="H6" i="8" s="1"/>
  <c r="G5" i="8"/>
  <c r="H5" i="8" s="1"/>
  <c r="H4" i="8"/>
  <c r="G3" i="8"/>
  <c r="H3" i="8" s="1"/>
  <c r="S6" i="8" l="1"/>
  <c r="S22" i="8"/>
  <c r="T22" i="8" s="1"/>
  <c r="U22" i="8" s="1"/>
  <c r="T20" i="8"/>
  <c r="U20" i="8" s="1"/>
  <c r="S10" i="8"/>
  <c r="T10" i="8" s="1"/>
  <c r="U10" i="8" s="1"/>
  <c r="S16" i="8"/>
  <c r="T16" i="8" s="1"/>
  <c r="U16" i="8" s="1"/>
  <c r="T6" i="8"/>
  <c r="U6" i="8" s="1"/>
  <c r="T29" i="8"/>
  <c r="U29" i="8" s="1"/>
  <c r="T50" i="8"/>
  <c r="U50" i="8" s="1"/>
  <c r="T18" i="8"/>
  <c r="U18" i="8" s="1"/>
  <c r="T26" i="8"/>
  <c r="U26" i="8" s="1"/>
  <c r="T32" i="8"/>
  <c r="U32" i="8" s="1"/>
  <c r="T47" i="8"/>
  <c r="U47" i="8" s="1"/>
  <c r="T53" i="8"/>
  <c r="U53" i="8" s="1"/>
  <c r="T59" i="8"/>
  <c r="U59" i="8" s="1"/>
  <c r="T14" i="8"/>
  <c r="U14" i="8" s="1"/>
  <c r="T36" i="8"/>
  <c r="U36" i="8" s="1"/>
  <c r="T56" i="8"/>
  <c r="U56" i="8" s="1"/>
  <c r="I12" i="8"/>
  <c r="J12" i="8" s="1"/>
  <c r="T3" i="8"/>
  <c r="AE8" i="8"/>
  <c r="AF8" i="8" s="1"/>
  <c r="AE23" i="8"/>
  <c r="AF23" i="8" s="1"/>
  <c r="AE41" i="8"/>
  <c r="AF41" i="8" s="1"/>
  <c r="AE4" i="8"/>
  <c r="AF4" i="8" s="1"/>
  <c r="AE20" i="8"/>
  <c r="AF20" i="8" s="1"/>
  <c r="AE38" i="8"/>
  <c r="AF38" i="8" s="1"/>
  <c r="AE5" i="8"/>
  <c r="AF5" i="8" s="1"/>
  <c r="AE17" i="8"/>
  <c r="AF17" i="8" s="1"/>
  <c r="AE35" i="8"/>
  <c r="AF35" i="8" s="1"/>
  <c r="AE10" i="8"/>
  <c r="AF10" i="8" s="1"/>
  <c r="AE14" i="8"/>
  <c r="AF14" i="8" s="1"/>
  <c r="AE32" i="8"/>
  <c r="AF32" i="8" s="1"/>
  <c r="AE50" i="8"/>
  <c r="AF50" i="8" s="1"/>
  <c r="AE11" i="8"/>
  <c r="AF11" i="8" s="1"/>
  <c r="AE29" i="8"/>
  <c r="AF29" i="8" s="1"/>
  <c r="AE47" i="8"/>
  <c r="AF47" i="8" s="1"/>
  <c r="AE7" i="8"/>
  <c r="AF7" i="8" s="1"/>
  <c r="AE26" i="8"/>
  <c r="AF26" i="8" s="1"/>
  <c r="AE44" i="8"/>
  <c r="AF44" i="8" s="1"/>
  <c r="AE9" i="8"/>
  <c r="AF9" i="8" s="1"/>
  <c r="AE12" i="8"/>
  <c r="AF12" i="8" s="1"/>
  <c r="AE30" i="8"/>
  <c r="AF30" i="8" s="1"/>
  <c r="AE39" i="8"/>
  <c r="AF39" i="8" s="1"/>
  <c r="AE48" i="8"/>
  <c r="AF48" i="8" s="1"/>
  <c r="AF21" i="8"/>
  <c r="AE3" i="8"/>
  <c r="AE6" i="8"/>
  <c r="AF6" i="8" s="1"/>
  <c r="AE15" i="8"/>
  <c r="AF15" i="8" s="1"/>
  <c r="AE18" i="8"/>
  <c r="AF18" i="8" s="1"/>
  <c r="AE24" i="8"/>
  <c r="AF24" i="8" s="1"/>
  <c r="AE27" i="8"/>
  <c r="AF27" i="8" s="1"/>
  <c r="AE33" i="8"/>
  <c r="AF33" i="8" s="1"/>
  <c r="AE36" i="8"/>
  <c r="AF36" i="8" s="1"/>
  <c r="AE42" i="8"/>
  <c r="AF42" i="8" s="1"/>
  <c r="AE45" i="8"/>
  <c r="AF45" i="8" s="1"/>
  <c r="T15" i="8"/>
  <c r="U15" i="8" s="1"/>
  <c r="T37" i="8"/>
  <c r="U37" i="8" s="1"/>
  <c r="T42" i="8"/>
  <c r="U42" i="8" s="1"/>
  <c r="T57" i="8"/>
  <c r="U57" i="8" s="1"/>
  <c r="T12" i="8"/>
  <c r="U12" i="8" s="1"/>
  <c r="T38" i="8"/>
  <c r="U38" i="8" s="1"/>
  <c r="T58" i="8"/>
  <c r="U58" i="8" s="1"/>
  <c r="T8" i="8"/>
  <c r="U8" i="8" s="1"/>
  <c r="T9" i="8"/>
  <c r="U9" i="8" s="1"/>
  <c r="T31" i="8"/>
  <c r="U31" i="8" s="1"/>
  <c r="T52" i="8"/>
  <c r="U52" i="8" s="1"/>
  <c r="T5" i="8"/>
  <c r="U5" i="8" s="1"/>
  <c r="T24" i="8"/>
  <c r="U24" i="8" s="1"/>
  <c r="T28" i="8"/>
  <c r="U28" i="8" s="1"/>
  <c r="T45" i="8"/>
  <c r="U45" i="8" s="1"/>
  <c r="T49" i="8"/>
  <c r="U49" i="8" s="1"/>
  <c r="T33" i="8"/>
  <c r="U33" i="8" s="1"/>
  <c r="T54" i="8"/>
  <c r="U54" i="8" s="1"/>
  <c r="T13" i="8"/>
  <c r="U13" i="8" s="1"/>
  <c r="T30" i="8"/>
  <c r="T51" i="8"/>
  <c r="U51" i="8" s="1"/>
  <c r="T55" i="8"/>
  <c r="U55" i="8" s="1"/>
  <c r="T4" i="8"/>
  <c r="U4" i="8" s="1"/>
  <c r="T27" i="8"/>
  <c r="U27" i="8" s="1"/>
  <c r="T48" i="8"/>
  <c r="U48" i="8" s="1"/>
  <c r="T19" i="8"/>
  <c r="U19" i="8" s="1"/>
  <c r="T25" i="8"/>
  <c r="U25" i="8" s="1"/>
  <c r="T41" i="8"/>
  <c r="U41" i="8" s="1"/>
  <c r="T46" i="8"/>
  <c r="U46" i="8" s="1"/>
  <c r="T60" i="8"/>
  <c r="U60" i="8" s="1"/>
  <c r="I50" i="8"/>
  <c r="J50" i="8" s="1"/>
  <c r="I17" i="8"/>
  <c r="J17" i="8" s="1"/>
  <c r="I41" i="8"/>
  <c r="J41" i="8" s="1"/>
  <c r="I32" i="8"/>
  <c r="J32" i="8" s="1"/>
  <c r="I47" i="8"/>
  <c r="J47" i="8" s="1"/>
  <c r="I23" i="8"/>
  <c r="J23" i="8" s="1"/>
  <c r="I53" i="8"/>
  <c r="J53" i="8" s="1"/>
  <c r="I14" i="8"/>
  <c r="J14" i="8" s="1"/>
  <c r="I29" i="8"/>
  <c r="J29" i="8" s="1"/>
  <c r="I4" i="8"/>
  <c r="J4" i="8" s="1"/>
  <c r="I35" i="8"/>
  <c r="J35" i="8" s="1"/>
  <c r="I6" i="8"/>
  <c r="J6" i="8" s="1"/>
  <c r="I25" i="8"/>
  <c r="J25" i="8" s="1"/>
  <c r="I43" i="8"/>
  <c r="J43" i="8" s="1"/>
  <c r="I9" i="8"/>
  <c r="J9" i="8" s="1"/>
  <c r="I15" i="8"/>
  <c r="J15" i="8" s="1"/>
  <c r="I20" i="8"/>
  <c r="J20" i="8" s="1"/>
  <c r="I28" i="8"/>
  <c r="J28" i="8" s="1"/>
  <c r="I38" i="8"/>
  <c r="J38" i="8" s="1"/>
  <c r="I46" i="8"/>
  <c r="J46" i="8" s="1"/>
  <c r="I52" i="8"/>
  <c r="J52" i="8" s="1"/>
  <c r="I13" i="8"/>
  <c r="J13" i="8" s="1"/>
  <c r="I49" i="8"/>
  <c r="J49" i="8" s="1"/>
  <c r="I19" i="8"/>
  <c r="J19" i="8" s="1"/>
  <c r="I24" i="8"/>
  <c r="J24" i="8" s="1"/>
  <c r="I37" i="8"/>
  <c r="J37" i="8" s="1"/>
  <c r="J39" i="8"/>
  <c r="I42" i="8"/>
  <c r="J42" i="8" s="1"/>
  <c r="I31" i="8"/>
  <c r="J31" i="8" s="1"/>
  <c r="I7" i="8"/>
  <c r="I16" i="8"/>
  <c r="J16" i="8" s="1"/>
  <c r="I21" i="8"/>
  <c r="J21" i="8" s="1"/>
  <c r="I26" i="8"/>
  <c r="J26" i="8" s="1"/>
  <c r="I34" i="8"/>
  <c r="J34" i="8" s="1"/>
  <c r="I44" i="8"/>
  <c r="J44" i="8" s="1"/>
  <c r="I5" i="8"/>
  <c r="J5" i="8" s="1"/>
  <c r="I3" i="8"/>
  <c r="I22" i="8"/>
  <c r="J22" i="8" s="1"/>
  <c r="I40" i="8"/>
  <c r="J40" i="8" s="1"/>
  <c r="R7" i="1"/>
  <c r="R6" i="1"/>
  <c r="R4" i="1"/>
  <c r="R3" i="1"/>
  <c r="R2" i="1"/>
  <c r="S2" i="1" s="1"/>
  <c r="U30" i="8" l="1"/>
  <c r="T61" i="8"/>
  <c r="J3" i="8"/>
  <c r="I54" i="8"/>
  <c r="AF3" i="8"/>
  <c r="AE53" i="8"/>
  <c r="U3" i="8"/>
  <c r="J7" i="8"/>
  <c r="S6" i="1"/>
  <c r="T6" i="1" s="1"/>
  <c r="U6" i="1" s="1"/>
  <c r="T2" i="1"/>
  <c r="U2" i="1" s="1"/>
  <c r="G78" i="1" l="1"/>
  <c r="H78" i="1" s="1"/>
  <c r="I78" i="1" s="1"/>
  <c r="G77" i="1"/>
  <c r="H77" i="1" s="1"/>
  <c r="I77" i="1" s="1"/>
  <c r="G76" i="1"/>
  <c r="H76" i="1" s="1"/>
  <c r="I76" i="1" s="1"/>
  <c r="G75" i="1"/>
  <c r="H75" i="1" s="1"/>
  <c r="I75" i="1" s="1"/>
  <c r="G74" i="1"/>
  <c r="H74" i="1" s="1"/>
  <c r="I74" i="1" s="1"/>
  <c r="G73" i="1"/>
  <c r="H73" i="1" s="1"/>
  <c r="I73" i="1" s="1"/>
  <c r="G72" i="1"/>
  <c r="H72" i="1" s="1"/>
  <c r="I72" i="1" s="1"/>
  <c r="G71" i="1"/>
  <c r="H71" i="1" s="1"/>
  <c r="I71" i="1" s="1"/>
  <c r="G70" i="1"/>
  <c r="H70" i="1" s="1"/>
  <c r="I70" i="1" s="1"/>
  <c r="G69" i="1"/>
  <c r="H69" i="1" s="1"/>
  <c r="I69" i="1" s="1"/>
  <c r="G68" i="1"/>
  <c r="H68" i="1" s="1"/>
  <c r="I68" i="1" s="1"/>
  <c r="G67" i="1"/>
  <c r="H67" i="1" s="1"/>
  <c r="I67" i="1" s="1"/>
  <c r="G66" i="1"/>
  <c r="H66" i="1" s="1"/>
  <c r="I66" i="1" s="1"/>
  <c r="G65" i="1"/>
  <c r="H65" i="1" s="1"/>
  <c r="I65" i="1" s="1"/>
  <c r="G64" i="1"/>
  <c r="H64" i="1" s="1"/>
  <c r="I64" i="1" s="1"/>
  <c r="G63" i="1"/>
  <c r="H63" i="1" s="1"/>
  <c r="I63" i="1" s="1"/>
  <c r="G62" i="1"/>
  <c r="H62" i="1" s="1"/>
  <c r="I62" i="1" s="1"/>
  <c r="G61" i="1"/>
  <c r="H61" i="1" s="1"/>
  <c r="I61" i="1" s="1"/>
  <c r="G60" i="1"/>
  <c r="H60" i="1" s="1"/>
  <c r="I60" i="1" s="1"/>
  <c r="G59" i="1"/>
  <c r="H59" i="1" s="1"/>
  <c r="I59" i="1" s="1"/>
  <c r="G58" i="1"/>
  <c r="H58" i="1" s="1"/>
  <c r="I58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I17" i="1" l="1"/>
  <c r="J17" i="1" s="1"/>
  <c r="I41" i="1"/>
  <c r="J41" i="1" s="1"/>
  <c r="I18" i="1"/>
  <c r="J18" i="1" s="1"/>
  <c r="I30" i="1"/>
  <c r="J30" i="1" s="1"/>
  <c r="I36" i="1"/>
  <c r="J36" i="1" s="1"/>
  <c r="I42" i="1"/>
  <c r="J42" i="1" s="1"/>
  <c r="I7" i="1"/>
  <c r="J7" i="1" s="1"/>
  <c r="I19" i="1"/>
  <c r="J19" i="1" s="1"/>
  <c r="I37" i="1"/>
  <c r="J37" i="1" s="1"/>
  <c r="I20" i="1"/>
  <c r="J20" i="1" s="1"/>
  <c r="I26" i="1"/>
  <c r="J26" i="1" s="1"/>
  <c r="I32" i="1"/>
  <c r="J32" i="1" s="1"/>
  <c r="I44" i="1"/>
  <c r="J44" i="1" s="1"/>
  <c r="I11" i="1"/>
  <c r="J11" i="1" s="1"/>
  <c r="I35" i="1"/>
  <c r="J35" i="1" s="1"/>
  <c r="I12" i="1"/>
  <c r="J12" i="1" s="1"/>
  <c r="I48" i="1"/>
  <c r="J48" i="1" s="1"/>
  <c r="I13" i="1"/>
  <c r="J13" i="1" s="1"/>
  <c r="I31" i="1"/>
  <c r="J31" i="1" s="1"/>
  <c r="I49" i="1"/>
  <c r="J49" i="1" s="1"/>
  <c r="I8" i="1"/>
  <c r="J8" i="1" s="1"/>
  <c r="I50" i="1"/>
  <c r="J50" i="1" s="1"/>
  <c r="I3" i="1"/>
  <c r="I9" i="1"/>
  <c r="J9" i="1" s="1"/>
  <c r="I15" i="1"/>
  <c r="J15" i="1" s="1"/>
  <c r="I21" i="1"/>
  <c r="J21" i="1" s="1"/>
  <c r="I27" i="1"/>
  <c r="J27" i="1" s="1"/>
  <c r="I33" i="1"/>
  <c r="J33" i="1" s="1"/>
  <c r="I39" i="1"/>
  <c r="J39" i="1" s="1"/>
  <c r="I45" i="1"/>
  <c r="J45" i="1" s="1"/>
  <c r="I51" i="1"/>
  <c r="J51" i="1" s="1"/>
  <c r="I5" i="1"/>
  <c r="J5" i="1" s="1"/>
  <c r="I47" i="1"/>
  <c r="J47" i="1" s="1"/>
  <c r="I24" i="1"/>
  <c r="J24" i="1" s="1"/>
  <c r="I25" i="1"/>
  <c r="J25" i="1" s="1"/>
  <c r="I43" i="1"/>
  <c r="J43" i="1" s="1"/>
  <c r="I14" i="1"/>
  <c r="J14" i="1" s="1"/>
  <c r="I38" i="1"/>
  <c r="J38" i="1" s="1"/>
  <c r="I4" i="1"/>
  <c r="J4" i="1" s="1"/>
  <c r="I10" i="1"/>
  <c r="J10" i="1" s="1"/>
  <c r="I16" i="1"/>
  <c r="J16" i="1" s="1"/>
  <c r="I22" i="1"/>
  <c r="J22" i="1" s="1"/>
  <c r="I28" i="1"/>
  <c r="J28" i="1" s="1"/>
  <c r="I34" i="1"/>
  <c r="J34" i="1" s="1"/>
  <c r="I40" i="1"/>
  <c r="J40" i="1" s="1"/>
  <c r="I46" i="1"/>
  <c r="J46" i="1" s="1"/>
  <c r="I52" i="1"/>
  <c r="J52" i="1" s="1"/>
  <c r="I29" i="1"/>
  <c r="J29" i="1" s="1"/>
  <c r="I23" i="1"/>
  <c r="J23" i="1" s="1"/>
  <c r="I6" i="1"/>
  <c r="J6" i="1" s="1"/>
  <c r="J3" i="1" l="1"/>
  <c r="I53" i="1"/>
  <c r="H12" i="13" l="1"/>
  <c r="I12" i="13" s="1"/>
  <c r="J12" i="13" l="1"/>
</calcChain>
</file>

<file path=xl/sharedStrings.xml><?xml version="1.0" encoding="utf-8"?>
<sst xmlns="http://schemas.openxmlformats.org/spreadsheetml/2006/main" count="2007" uniqueCount="1163">
  <si>
    <t>~三聯式</t>
  </si>
  <si>
    <t>發票日期</t>
  </si>
  <si>
    <t>發票號碼</t>
  </si>
  <si>
    <t>買受人</t>
  </si>
  <si>
    <t>品名</t>
  </si>
  <si>
    <t>數量</t>
  </si>
  <si>
    <t>單價</t>
  </si>
  <si>
    <t>金額</t>
  </si>
  <si>
    <t>未稅金額</t>
  </si>
  <si>
    <t>稅金</t>
  </si>
  <si>
    <t>含稅金額</t>
  </si>
  <si>
    <t>~2聯</t>
  </si>
  <si>
    <t>合計</t>
  </si>
  <si>
    <t>收款金額</t>
  </si>
  <si>
    <t>水槽</t>
    <phoneticPr fontId="4" type="noConversion"/>
  </si>
  <si>
    <t>配件</t>
    <phoneticPr fontId="4" type="noConversion"/>
  </si>
  <si>
    <t>龍頭</t>
    <phoneticPr fontId="4" type="noConversion"/>
  </si>
  <si>
    <r>
      <rPr>
        <sz val="12"/>
        <color theme="1"/>
        <rFont val="微軟正黑體"/>
        <family val="2"/>
        <charset val="136"/>
      </rPr>
      <t>信福</t>
    </r>
    <r>
      <rPr>
        <sz val="12"/>
        <color theme="1"/>
        <rFont val="Calibri"/>
        <family val="2"/>
      </rPr>
      <t>~</t>
    </r>
    <r>
      <rPr>
        <sz val="12"/>
        <color theme="1"/>
        <rFont val="微軟正黑體"/>
        <family val="2"/>
        <charset val="136"/>
      </rPr>
      <t>三聯式</t>
    </r>
    <phoneticPr fontId="4" type="noConversion"/>
  </si>
  <si>
    <r>
      <rPr>
        <sz val="12"/>
        <color theme="1"/>
        <rFont val="微軟正黑體"/>
        <family val="2"/>
        <charset val="136"/>
      </rPr>
      <t>詠瀅</t>
    </r>
    <r>
      <rPr>
        <sz val="12"/>
        <color theme="1"/>
        <rFont val="Calibri"/>
        <family val="2"/>
      </rPr>
      <t>~</t>
    </r>
    <r>
      <rPr>
        <sz val="12"/>
        <color theme="1"/>
        <rFont val="微軟正黑體"/>
        <family val="2"/>
        <charset val="136"/>
      </rPr>
      <t>三聯式</t>
    </r>
    <phoneticPr fontId="4" type="noConversion"/>
  </si>
  <si>
    <r>
      <rPr>
        <sz val="12"/>
        <color theme="1"/>
        <rFont val="微軟正黑體"/>
        <family val="2"/>
        <charset val="136"/>
      </rPr>
      <t>禾河鑫</t>
    </r>
    <r>
      <rPr>
        <sz val="12"/>
        <color theme="1"/>
        <rFont val="Calibri"/>
        <family val="2"/>
      </rPr>
      <t>~</t>
    </r>
    <r>
      <rPr>
        <sz val="12"/>
        <color theme="1"/>
        <rFont val="微軟正黑體"/>
        <family val="2"/>
        <charset val="136"/>
      </rPr>
      <t>三聯式</t>
    </r>
    <phoneticPr fontId="4" type="noConversion"/>
  </si>
  <si>
    <r>
      <rPr>
        <sz val="12"/>
        <color theme="1"/>
        <rFont val="微軟正黑體"/>
        <family val="2"/>
        <charset val="136"/>
      </rPr>
      <t>信福</t>
    </r>
    <r>
      <rPr>
        <sz val="12"/>
        <color theme="1"/>
        <rFont val="Calibri"/>
        <family val="2"/>
      </rPr>
      <t>~2</t>
    </r>
    <r>
      <rPr>
        <sz val="12"/>
        <color theme="1"/>
        <rFont val="微軟正黑體"/>
        <family val="2"/>
        <charset val="136"/>
      </rPr>
      <t>聯</t>
    </r>
    <phoneticPr fontId="4" type="noConversion"/>
  </si>
  <si>
    <t>HT37313150</t>
    <phoneticPr fontId="4" type="noConversion"/>
  </si>
  <si>
    <t>HT37313151</t>
  </si>
  <si>
    <t>HT37313152</t>
  </si>
  <si>
    <t>HT37313153</t>
  </si>
  <si>
    <t>HT37313154</t>
  </si>
  <si>
    <t>HT37313155</t>
  </si>
  <si>
    <t>HT37313156</t>
  </si>
  <si>
    <t>HT37313157</t>
  </si>
  <si>
    <t>HT37313158</t>
  </si>
  <si>
    <t>HT37313159</t>
  </si>
  <si>
    <t>HT37313160</t>
  </si>
  <si>
    <t>HT37313161</t>
  </si>
  <si>
    <t>HT37313162</t>
  </si>
  <si>
    <t>HT37313163</t>
  </si>
  <si>
    <t>HT37313164</t>
  </si>
  <si>
    <t>HT37313165</t>
  </si>
  <si>
    <t>HT37313166</t>
  </si>
  <si>
    <t>HT37313167</t>
  </si>
  <si>
    <t>HT37313168</t>
  </si>
  <si>
    <t>HT37313169</t>
  </si>
  <si>
    <t>HT37313170</t>
  </si>
  <si>
    <t>HT37313171</t>
  </si>
  <si>
    <t>HT37313172</t>
  </si>
  <si>
    <t>HT37313173</t>
  </si>
  <si>
    <t>HT37313174</t>
  </si>
  <si>
    <t>HT37313175</t>
  </si>
  <si>
    <t>HT37313176</t>
  </si>
  <si>
    <t>HT37313177</t>
  </si>
  <si>
    <t>HT37313178</t>
  </si>
  <si>
    <t>HT37313179</t>
  </si>
  <si>
    <t>HT37313180</t>
  </si>
  <si>
    <t>HT37313181</t>
  </si>
  <si>
    <t>HT37313182</t>
  </si>
  <si>
    <t>HT37313183</t>
  </si>
  <si>
    <t>HT37313184</t>
  </si>
  <si>
    <t>HT37313185</t>
  </si>
  <si>
    <t>HT37313186</t>
  </si>
  <si>
    <t>HT37313187</t>
  </si>
  <si>
    <t>HT37313188</t>
  </si>
  <si>
    <t>HT37313189</t>
  </si>
  <si>
    <t>HT37313190</t>
  </si>
  <si>
    <t>HT37313191</t>
  </si>
  <si>
    <t>HT37313192</t>
  </si>
  <si>
    <t>HT37313193</t>
  </si>
  <si>
    <t>HT37313194</t>
  </si>
  <si>
    <t>HT37313195</t>
  </si>
  <si>
    <t>HT37313196</t>
  </si>
  <si>
    <t>HT37313197</t>
  </si>
  <si>
    <t>HT37313198</t>
  </si>
  <si>
    <t>HT37313199</t>
  </si>
  <si>
    <t>龍泰</t>
    <phoneticPr fontId="4" type="noConversion"/>
  </si>
  <si>
    <t>水槽</t>
    <phoneticPr fontId="4" type="noConversion"/>
  </si>
  <si>
    <t>傑泰</t>
    <phoneticPr fontId="4" type="noConversion"/>
  </si>
  <si>
    <t>永韻</t>
    <phoneticPr fontId="4" type="noConversion"/>
  </si>
  <si>
    <t>全懋</t>
    <phoneticPr fontId="4" type="noConversion"/>
  </si>
  <si>
    <t>HT37312600</t>
    <phoneticPr fontId="4" type="noConversion"/>
  </si>
  <si>
    <t>HT37312601</t>
  </si>
  <si>
    <t>HT37312602</t>
  </si>
  <si>
    <t>HT37312603</t>
  </si>
  <si>
    <t>HT37312604</t>
  </si>
  <si>
    <t>HT37312605</t>
  </si>
  <si>
    <t>HT37312606</t>
  </si>
  <si>
    <t>HT37312608</t>
  </si>
  <si>
    <t>HT37312609</t>
  </si>
  <si>
    <t>HT37312610</t>
  </si>
  <si>
    <t>HT37312611</t>
  </si>
  <si>
    <t>HT37312612</t>
  </si>
  <si>
    <t>HT37312613</t>
  </si>
  <si>
    <t>HT37312614</t>
  </si>
  <si>
    <t>HT37312615</t>
  </si>
  <si>
    <t>HT37312616</t>
  </si>
  <si>
    <t>HT37312617</t>
  </si>
  <si>
    <t>HT37312618</t>
  </si>
  <si>
    <t>HT37312619</t>
  </si>
  <si>
    <t>HT37312620</t>
  </si>
  <si>
    <t>HT37312621</t>
  </si>
  <si>
    <t>HT37312622</t>
  </si>
  <si>
    <t>HT37312623</t>
  </si>
  <si>
    <t>HT37312624</t>
  </si>
  <si>
    <t>HT37312625</t>
  </si>
  <si>
    <t>HT37312626</t>
  </si>
  <si>
    <t>HT37312627</t>
  </si>
  <si>
    <t>HT37312628</t>
  </si>
  <si>
    <t>HT37312629</t>
  </si>
  <si>
    <t>HT37312630</t>
  </si>
  <si>
    <t>HT37312631</t>
  </si>
  <si>
    <t>HT37312632</t>
  </si>
  <si>
    <t>HT37312633</t>
  </si>
  <si>
    <t>HT37312634</t>
  </si>
  <si>
    <t>HT37312635</t>
  </si>
  <si>
    <t>HT37312636</t>
  </si>
  <si>
    <t>HT37312637</t>
  </si>
  <si>
    <t>HT37312638</t>
  </si>
  <si>
    <t>HT37312639</t>
  </si>
  <si>
    <t>HT37312640</t>
  </si>
  <si>
    <t>HT37312641</t>
  </si>
  <si>
    <t>HT37312642</t>
  </si>
  <si>
    <t>HT37312643</t>
  </si>
  <si>
    <t>HT37312644</t>
  </si>
  <si>
    <t>HT37312645</t>
  </si>
  <si>
    <t>HT37312646</t>
  </si>
  <si>
    <t>HT37312647</t>
  </si>
  <si>
    <t>HT37312648</t>
  </si>
  <si>
    <t>HT37312649</t>
  </si>
  <si>
    <t>亞麗</t>
    <phoneticPr fontId="4" type="noConversion"/>
  </si>
  <si>
    <t>大雅</t>
    <phoneticPr fontId="4" type="noConversion"/>
  </si>
  <si>
    <t>諾德</t>
    <phoneticPr fontId="4" type="noConversion"/>
  </si>
  <si>
    <t>京司</t>
    <phoneticPr fontId="4" type="noConversion"/>
  </si>
  <si>
    <t>配件</t>
    <phoneticPr fontId="4" type="noConversion"/>
  </si>
  <si>
    <t>HT37312800</t>
    <phoneticPr fontId="4" type="noConversion"/>
  </si>
  <si>
    <t>HT37312801</t>
  </si>
  <si>
    <t>HT37312802</t>
  </si>
  <si>
    <t>HT37312804</t>
  </si>
  <si>
    <t>HT37312805</t>
  </si>
  <si>
    <t>HT37312807</t>
  </si>
  <si>
    <t>HT37312808</t>
  </si>
  <si>
    <t>HT37312809</t>
  </si>
  <si>
    <t>HT37312810</t>
  </si>
  <si>
    <t>HT37312812</t>
  </si>
  <si>
    <t>HT37312813</t>
  </si>
  <si>
    <t>HT37312816</t>
  </si>
  <si>
    <t>HT37312817</t>
  </si>
  <si>
    <t>HT37312818</t>
  </si>
  <si>
    <t>HT37312819</t>
  </si>
  <si>
    <t>HT37312820</t>
  </si>
  <si>
    <t>HT37312821</t>
  </si>
  <si>
    <t>HT37312822</t>
  </si>
  <si>
    <t>HT37312823</t>
  </si>
  <si>
    <t>HT37312824</t>
  </si>
  <si>
    <t>HT37312825</t>
  </si>
  <si>
    <t>HT37312827</t>
  </si>
  <si>
    <t>HT37312828</t>
  </si>
  <si>
    <t>HT37312829</t>
  </si>
  <si>
    <t>HT37312831</t>
  </si>
  <si>
    <t>HT37312832</t>
  </si>
  <si>
    <t>HT37312834</t>
  </si>
  <si>
    <t>HT37312835</t>
  </si>
  <si>
    <t>HT37312836</t>
  </si>
  <si>
    <t>HT37312837</t>
  </si>
  <si>
    <t>HT37312838</t>
  </si>
  <si>
    <t>HT37312839</t>
  </si>
  <si>
    <t>HT37312840</t>
  </si>
  <si>
    <t>HT37312841</t>
  </si>
  <si>
    <t>HT37312842</t>
  </si>
  <si>
    <t>HT37312843</t>
  </si>
  <si>
    <t>HT37312844</t>
  </si>
  <si>
    <t>HT37312845</t>
  </si>
  <si>
    <t>HT37312846</t>
  </si>
  <si>
    <t>HT37312847</t>
  </si>
  <si>
    <t>HT37312848</t>
  </si>
  <si>
    <t>HT37312849</t>
  </si>
  <si>
    <t>積甲</t>
    <phoneticPr fontId="4" type="noConversion"/>
  </si>
  <si>
    <t>麗舍</t>
    <phoneticPr fontId="4" type="noConversion"/>
  </si>
  <si>
    <t>積禾</t>
    <phoneticPr fontId="4" type="noConversion"/>
  </si>
  <si>
    <t>智燁</t>
    <phoneticPr fontId="4" type="noConversion"/>
  </si>
  <si>
    <t>HT37312803</t>
    <phoneticPr fontId="4" type="noConversion"/>
  </si>
  <si>
    <t>主富</t>
    <phoneticPr fontId="4" type="noConversion"/>
  </si>
  <si>
    <t>合祥</t>
    <phoneticPr fontId="4" type="noConversion"/>
  </si>
  <si>
    <t>HT37312806</t>
    <phoneticPr fontId="4" type="noConversion"/>
  </si>
  <si>
    <t>鑫金豪</t>
    <phoneticPr fontId="4" type="noConversion"/>
  </si>
  <si>
    <t>碩品</t>
    <phoneticPr fontId="4" type="noConversion"/>
  </si>
  <si>
    <t>尚有堂</t>
    <phoneticPr fontId="4" type="noConversion"/>
  </si>
  <si>
    <t>億騰</t>
    <phoneticPr fontId="4" type="noConversion"/>
  </si>
  <si>
    <t>HT37312811</t>
    <phoneticPr fontId="4" type="noConversion"/>
  </si>
  <si>
    <t>德宜</t>
    <phoneticPr fontId="4" type="noConversion"/>
  </si>
  <si>
    <t>連程</t>
    <phoneticPr fontId="4" type="noConversion"/>
  </si>
  <si>
    <t>作廢</t>
    <phoneticPr fontId="4" type="noConversion"/>
  </si>
  <si>
    <t>榛薘葳</t>
    <phoneticPr fontId="4" type="noConversion"/>
  </si>
  <si>
    <t>HT37312814</t>
    <phoneticPr fontId="4" type="noConversion"/>
  </si>
  <si>
    <t>HT37312815</t>
    <phoneticPr fontId="4" type="noConversion"/>
  </si>
  <si>
    <t>豪葳</t>
    <phoneticPr fontId="4" type="noConversion"/>
  </si>
  <si>
    <t>HV28371150</t>
    <phoneticPr fontId="4" type="noConversion"/>
  </si>
  <si>
    <t>HV28371151</t>
  </si>
  <si>
    <t>HV28371152</t>
  </si>
  <si>
    <t>HV28371153</t>
  </si>
  <si>
    <t>HV28371154</t>
  </si>
  <si>
    <t>博爵</t>
    <phoneticPr fontId="4" type="noConversion"/>
  </si>
  <si>
    <t>HT37312607</t>
    <phoneticPr fontId="4" type="noConversion"/>
  </si>
  <si>
    <t>德安</t>
    <phoneticPr fontId="4" type="noConversion"/>
  </si>
  <si>
    <t>龍泰</t>
    <phoneticPr fontId="4" type="noConversion"/>
  </si>
  <si>
    <t>傑泰</t>
    <phoneticPr fontId="4" type="noConversion"/>
  </si>
  <si>
    <t>碩品</t>
    <phoneticPr fontId="4" type="noConversion"/>
  </si>
  <si>
    <t>榛薘葳</t>
    <phoneticPr fontId="4" type="noConversion"/>
  </si>
  <si>
    <t>主富</t>
    <phoneticPr fontId="4" type="noConversion"/>
  </si>
  <si>
    <t>睦和</t>
    <phoneticPr fontId="4" type="noConversion"/>
  </si>
  <si>
    <t>全懋</t>
    <phoneticPr fontId="4" type="noConversion"/>
  </si>
  <si>
    <t>HT37312826</t>
    <phoneticPr fontId="4" type="noConversion"/>
  </si>
  <si>
    <t>麗舍</t>
    <phoneticPr fontId="4" type="noConversion"/>
  </si>
  <si>
    <t>預收貨款</t>
    <phoneticPr fontId="4" type="noConversion"/>
  </si>
  <si>
    <t>連程</t>
    <phoneticPr fontId="4" type="noConversion"/>
  </si>
  <si>
    <t>積甲</t>
    <phoneticPr fontId="4" type="noConversion"/>
  </si>
  <si>
    <t>HT37312830</t>
    <phoneticPr fontId="4" type="noConversion"/>
  </si>
  <si>
    <t>禹臣</t>
    <phoneticPr fontId="4" type="noConversion"/>
  </si>
  <si>
    <t>作廢</t>
    <phoneticPr fontId="4" type="noConversion"/>
  </si>
  <si>
    <t>和田</t>
    <phoneticPr fontId="4" type="noConversion"/>
  </si>
  <si>
    <t>HT37312833</t>
    <phoneticPr fontId="4" type="noConversion"/>
  </si>
  <si>
    <t>樺品</t>
    <phoneticPr fontId="4" type="noConversion"/>
  </si>
  <si>
    <t>登輝</t>
    <phoneticPr fontId="4" type="noConversion"/>
  </si>
  <si>
    <t>豪葳</t>
    <phoneticPr fontId="4" type="noConversion"/>
  </si>
  <si>
    <t>德宜</t>
    <phoneticPr fontId="4" type="noConversion"/>
  </si>
  <si>
    <t>青葉</t>
    <phoneticPr fontId="4" type="noConversion"/>
  </si>
  <si>
    <t>合祥</t>
    <phoneticPr fontId="4" type="noConversion"/>
  </si>
  <si>
    <t>配件</t>
    <phoneticPr fontId="4" type="noConversion"/>
  </si>
  <si>
    <t>KT37182200</t>
    <phoneticPr fontId="4" type="noConversion"/>
  </si>
  <si>
    <t>KT37182201</t>
  </si>
  <si>
    <t>KT37182203</t>
  </si>
  <si>
    <t>KT37182204</t>
  </si>
  <si>
    <t>KT37182205</t>
  </si>
  <si>
    <t>KT37182206</t>
  </si>
  <si>
    <t>KT37182207</t>
  </si>
  <si>
    <t>KT37182208</t>
  </si>
  <si>
    <t>KT37182209</t>
  </si>
  <si>
    <t>KT37182210</t>
  </si>
  <si>
    <t>KT37182211</t>
  </si>
  <si>
    <t>KT37182212</t>
  </si>
  <si>
    <t>KT37182214</t>
  </si>
  <si>
    <t>KT37182215</t>
  </si>
  <si>
    <t>KT37182216</t>
  </si>
  <si>
    <t>KT37182217</t>
  </si>
  <si>
    <t>KT37182218</t>
  </si>
  <si>
    <t>KT37182219</t>
  </si>
  <si>
    <t>KT37182220</t>
  </si>
  <si>
    <t>KT37182221</t>
  </si>
  <si>
    <t>KT37182222</t>
  </si>
  <si>
    <t>KT37182223</t>
  </si>
  <si>
    <t>KT37182224</t>
  </si>
  <si>
    <t>KT37182225</t>
  </si>
  <si>
    <t>KT37182226</t>
  </si>
  <si>
    <t>KT37182227</t>
  </si>
  <si>
    <t>KT37182228</t>
  </si>
  <si>
    <t>KT37182229</t>
  </si>
  <si>
    <t>KT37182230</t>
  </si>
  <si>
    <t>KT37182231</t>
  </si>
  <si>
    <t>KT37182232</t>
  </si>
  <si>
    <t>KT37182233</t>
  </si>
  <si>
    <t>KT37182234</t>
  </si>
  <si>
    <t>KT37182235</t>
  </si>
  <si>
    <t>KT37182236</t>
  </si>
  <si>
    <t>KT37182237</t>
  </si>
  <si>
    <t>KT37182238</t>
  </si>
  <si>
    <t>KT37182239</t>
  </si>
  <si>
    <t>KT37182240</t>
  </si>
  <si>
    <t>KT37182241</t>
  </si>
  <si>
    <t>KT37182242</t>
  </si>
  <si>
    <t>KT37182243</t>
  </si>
  <si>
    <t>KT37182244</t>
  </si>
  <si>
    <t>KT37182245</t>
  </si>
  <si>
    <t>KT37182246</t>
  </si>
  <si>
    <t>KT37182247</t>
  </si>
  <si>
    <t>KT37182248</t>
  </si>
  <si>
    <t>KT37182249</t>
  </si>
  <si>
    <t>KV28171700</t>
    <phoneticPr fontId="4" type="noConversion"/>
  </si>
  <si>
    <t>KV28171701</t>
  </si>
  <si>
    <t>KV28171702</t>
  </si>
  <si>
    <t>KV28171703</t>
  </si>
  <si>
    <t>KV28171704</t>
  </si>
  <si>
    <t>KV28171705</t>
  </si>
  <si>
    <t>KT37182202</t>
    <phoneticPr fontId="4" type="noConversion"/>
  </si>
  <si>
    <t>KT37182700</t>
    <phoneticPr fontId="4" type="noConversion"/>
  </si>
  <si>
    <t>KT37182701</t>
  </si>
  <si>
    <t>KT37182702</t>
  </si>
  <si>
    <t>KT37182703</t>
  </si>
  <si>
    <t>KT37182704</t>
  </si>
  <si>
    <t>KT37182705</t>
  </si>
  <si>
    <t>KT37182706</t>
  </si>
  <si>
    <t>KT37182707</t>
  </si>
  <si>
    <t>KT37182708</t>
  </si>
  <si>
    <t>KT37182709</t>
  </si>
  <si>
    <t>KT37182710</t>
  </si>
  <si>
    <t>KT37182711</t>
  </si>
  <si>
    <t>KT37182712</t>
  </si>
  <si>
    <t>KT37182713</t>
  </si>
  <si>
    <t>KT37182714</t>
  </si>
  <si>
    <t>KT37182715</t>
  </si>
  <si>
    <t>KT37182716</t>
  </si>
  <si>
    <t>KT37182717</t>
  </si>
  <si>
    <t>KT37182718</t>
  </si>
  <si>
    <t>KT37182719</t>
  </si>
  <si>
    <t>KT37182720</t>
  </si>
  <si>
    <t>KT37182721</t>
  </si>
  <si>
    <t>KT37182722</t>
  </si>
  <si>
    <t>KT37182723</t>
  </si>
  <si>
    <t>KT37182724</t>
  </si>
  <si>
    <t>KT37182725</t>
  </si>
  <si>
    <t>KT37182726</t>
  </si>
  <si>
    <t>KT37182727</t>
  </si>
  <si>
    <t>KT37182728</t>
  </si>
  <si>
    <t>KT37182729</t>
  </si>
  <si>
    <t>KT37182730</t>
  </si>
  <si>
    <t>KT37182731</t>
  </si>
  <si>
    <t>KT37182732</t>
  </si>
  <si>
    <t>KT37182733</t>
  </si>
  <si>
    <t>KT37182734</t>
  </si>
  <si>
    <t>KT37182735</t>
  </si>
  <si>
    <t>KT37182736</t>
  </si>
  <si>
    <t>KT37182737</t>
  </si>
  <si>
    <t>KT37182738</t>
  </si>
  <si>
    <t>KT37182739</t>
  </si>
  <si>
    <t>KT37182740</t>
  </si>
  <si>
    <t>KT37182741</t>
  </si>
  <si>
    <t>KT37182742</t>
  </si>
  <si>
    <t>KT37182743</t>
  </si>
  <si>
    <t>KT37182744</t>
  </si>
  <si>
    <t>KT37182745</t>
  </si>
  <si>
    <t>KT37182746</t>
  </si>
  <si>
    <t>KT37182747</t>
  </si>
  <si>
    <t>KT37182748</t>
  </si>
  <si>
    <t>KT37182749</t>
  </si>
  <si>
    <t>KT37210150</t>
    <phoneticPr fontId="4" type="noConversion"/>
  </si>
  <si>
    <t>KT37210152</t>
  </si>
  <si>
    <t>KT37210153</t>
  </si>
  <si>
    <t>KT37210158</t>
  </si>
  <si>
    <t>KT37210161</t>
  </si>
  <si>
    <t>KT37210162</t>
  </si>
  <si>
    <t>KT37210163</t>
  </si>
  <si>
    <t>KT37210164</t>
  </si>
  <si>
    <t>KT37210165</t>
  </si>
  <si>
    <t>KT37210166</t>
  </si>
  <si>
    <t>KT37210168</t>
  </si>
  <si>
    <t>KT37210169</t>
  </si>
  <si>
    <t>KT37210170</t>
  </si>
  <si>
    <t>KT37210171</t>
  </si>
  <si>
    <t>KT37210175</t>
  </si>
  <si>
    <t>KT37210176</t>
  </si>
  <si>
    <t>KT37210177</t>
  </si>
  <si>
    <t>KT37210178</t>
  </si>
  <si>
    <t>KT37210179</t>
  </si>
  <si>
    <t>KT37210182</t>
  </si>
  <si>
    <t>KT37210184</t>
  </si>
  <si>
    <t>KT37210186</t>
  </si>
  <si>
    <t>KT37210187</t>
  </si>
  <si>
    <t>KT37210188</t>
  </si>
  <si>
    <t>KT37210189</t>
  </si>
  <si>
    <t>KT37210190</t>
  </si>
  <si>
    <t>KT37210191</t>
  </si>
  <si>
    <t>KT37210192</t>
  </si>
  <si>
    <t>KT37210193</t>
  </si>
  <si>
    <t>KT37210194</t>
  </si>
  <si>
    <t>KT37210195</t>
  </si>
  <si>
    <t>KT37210196</t>
  </si>
  <si>
    <t>KT37210197</t>
  </si>
  <si>
    <t>KT37210198</t>
  </si>
  <si>
    <t>KT37210199</t>
  </si>
  <si>
    <t>KT37210151</t>
    <phoneticPr fontId="4" type="noConversion"/>
  </si>
  <si>
    <t>東禾</t>
    <phoneticPr fontId="4" type="noConversion"/>
  </si>
  <si>
    <t>KT37210155</t>
    <phoneticPr fontId="4" type="noConversion"/>
  </si>
  <si>
    <t>KT37210154</t>
    <phoneticPr fontId="4" type="noConversion"/>
  </si>
  <si>
    <t>KT37210156</t>
    <phoneticPr fontId="4" type="noConversion"/>
  </si>
  <si>
    <t>KT37210157</t>
    <phoneticPr fontId="4" type="noConversion"/>
  </si>
  <si>
    <r>
      <rPr>
        <sz val="12"/>
        <color theme="1"/>
        <rFont val="微軟正黑體"/>
        <family val="2"/>
        <charset val="136"/>
      </rPr>
      <t>麗舍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台中</t>
    </r>
    <phoneticPr fontId="4" type="noConversion"/>
  </si>
  <si>
    <t>KT37210160</t>
    <phoneticPr fontId="4" type="noConversion"/>
  </si>
  <si>
    <t>KT37210159</t>
    <phoneticPr fontId="4" type="noConversion"/>
  </si>
  <si>
    <t>駿躍</t>
    <phoneticPr fontId="4" type="noConversion"/>
  </si>
  <si>
    <t>女王</t>
    <phoneticPr fontId="4" type="noConversion"/>
  </si>
  <si>
    <t>德奧</t>
    <phoneticPr fontId="4" type="noConversion"/>
  </si>
  <si>
    <t>悅峰</t>
    <phoneticPr fontId="4" type="noConversion"/>
  </si>
  <si>
    <t>打磨工資</t>
    <phoneticPr fontId="4" type="noConversion"/>
  </si>
  <si>
    <t>亞麗</t>
    <phoneticPr fontId="4" type="noConversion"/>
  </si>
  <si>
    <t>水槽</t>
    <phoneticPr fontId="4" type="noConversion"/>
  </si>
  <si>
    <t>樺品</t>
    <phoneticPr fontId="4" type="noConversion"/>
  </si>
  <si>
    <t>龍頭</t>
    <phoneticPr fontId="4" type="noConversion"/>
  </si>
  <si>
    <t>作廢</t>
    <phoneticPr fontId="4" type="noConversion"/>
  </si>
  <si>
    <t>笠玠</t>
    <phoneticPr fontId="4" type="noConversion"/>
  </si>
  <si>
    <t>KT37210167</t>
    <phoneticPr fontId="4" type="noConversion"/>
  </si>
  <si>
    <t>麗舍</t>
    <phoneticPr fontId="4" type="noConversion"/>
  </si>
  <si>
    <t>作廢</t>
    <phoneticPr fontId="4" type="noConversion"/>
  </si>
  <si>
    <t>碩品</t>
    <phoneticPr fontId="4" type="noConversion"/>
  </si>
  <si>
    <t>睦和</t>
    <phoneticPr fontId="4" type="noConversion"/>
  </si>
  <si>
    <t>和田</t>
    <phoneticPr fontId="4" type="noConversion"/>
  </si>
  <si>
    <t>KT37210172</t>
    <phoneticPr fontId="4" type="noConversion"/>
  </si>
  <si>
    <t>樺品</t>
    <phoneticPr fontId="4" type="noConversion"/>
  </si>
  <si>
    <t>KT37210173</t>
    <phoneticPr fontId="4" type="noConversion"/>
  </si>
  <si>
    <t>德宜</t>
    <phoneticPr fontId="4" type="noConversion"/>
  </si>
  <si>
    <t>KT37210174</t>
    <phoneticPr fontId="4" type="noConversion"/>
  </si>
  <si>
    <t>豪葳</t>
    <phoneticPr fontId="4" type="noConversion"/>
  </si>
  <si>
    <t>女王</t>
    <phoneticPr fontId="4" type="noConversion"/>
  </si>
  <si>
    <t>進源</t>
    <phoneticPr fontId="4" type="noConversion"/>
  </si>
  <si>
    <t>合祥</t>
    <phoneticPr fontId="4" type="noConversion"/>
  </si>
  <si>
    <t>KT37210180</t>
    <phoneticPr fontId="4" type="noConversion"/>
  </si>
  <si>
    <t>米希</t>
    <phoneticPr fontId="4" type="noConversion"/>
  </si>
  <si>
    <t>KT37210181</t>
    <phoneticPr fontId="4" type="noConversion"/>
  </si>
  <si>
    <t>駿躍</t>
    <phoneticPr fontId="4" type="noConversion"/>
  </si>
  <si>
    <t>尚有堂</t>
    <phoneticPr fontId="4" type="noConversion"/>
  </si>
  <si>
    <t>KT37210185</t>
    <phoneticPr fontId="4" type="noConversion"/>
  </si>
  <si>
    <t>榛薘葳</t>
    <phoneticPr fontId="4" type="noConversion"/>
  </si>
  <si>
    <t>東禾</t>
    <phoneticPr fontId="4" type="noConversion"/>
  </si>
  <si>
    <t>水槽</t>
    <phoneticPr fontId="4" type="noConversion"/>
  </si>
  <si>
    <t>傑泰</t>
    <phoneticPr fontId="4" type="noConversion"/>
  </si>
  <si>
    <t>全懋</t>
    <phoneticPr fontId="4" type="noConversion"/>
  </si>
  <si>
    <t>永韻</t>
    <phoneticPr fontId="4" type="noConversion"/>
  </si>
  <si>
    <t>佢力</t>
    <phoneticPr fontId="4" type="noConversion"/>
  </si>
  <si>
    <t>諾德</t>
    <phoneticPr fontId="4" type="noConversion"/>
  </si>
  <si>
    <t>大雅</t>
    <phoneticPr fontId="4" type="noConversion"/>
  </si>
  <si>
    <t>亞麗</t>
    <phoneticPr fontId="4" type="noConversion"/>
  </si>
  <si>
    <t>KT37182213</t>
    <phoneticPr fontId="4" type="noConversion"/>
  </si>
  <si>
    <t>德安</t>
    <phoneticPr fontId="4" type="noConversion"/>
  </si>
  <si>
    <t>惠仲</t>
    <phoneticPr fontId="4" type="noConversion"/>
  </si>
  <si>
    <t>博爵</t>
    <phoneticPr fontId="4" type="noConversion"/>
  </si>
  <si>
    <t>KT37210183</t>
    <phoneticPr fontId="4" type="noConversion"/>
  </si>
  <si>
    <t>米希</t>
    <phoneticPr fontId="4" type="noConversion"/>
  </si>
  <si>
    <t>MT37164750</t>
    <phoneticPr fontId="4" type="noConversion"/>
  </si>
  <si>
    <t>MT37164751</t>
  </si>
  <si>
    <t>MT37164752</t>
  </si>
  <si>
    <t>MT37164753</t>
  </si>
  <si>
    <t>MT37164754</t>
  </si>
  <si>
    <t>MT37164755</t>
  </si>
  <si>
    <t>MT37164756</t>
  </si>
  <si>
    <t>MT37164757</t>
  </si>
  <si>
    <t>MT37164758</t>
  </si>
  <si>
    <t>MT37164759</t>
  </si>
  <si>
    <t>MT37164760</t>
  </si>
  <si>
    <t>MT37164761</t>
  </si>
  <si>
    <t>MT37164762</t>
  </si>
  <si>
    <t>MT37164763</t>
  </si>
  <si>
    <t>MT37164764</t>
  </si>
  <si>
    <t>MT37164765</t>
  </si>
  <si>
    <t>MT37164766</t>
  </si>
  <si>
    <t>MT37164767</t>
  </si>
  <si>
    <t>MT37164768</t>
  </si>
  <si>
    <t>MT37164769</t>
  </si>
  <si>
    <t>MT37164770</t>
  </si>
  <si>
    <t>MT37164771</t>
  </si>
  <si>
    <t>MT37164772</t>
  </si>
  <si>
    <t>MT37164773</t>
  </si>
  <si>
    <t>MT37164774</t>
  </si>
  <si>
    <t>MT37164775</t>
  </si>
  <si>
    <t>MT37164776</t>
  </si>
  <si>
    <t>MT37164777</t>
  </si>
  <si>
    <t>MT37164778</t>
  </si>
  <si>
    <t>MT37164779</t>
  </si>
  <si>
    <t>MT37164780</t>
  </si>
  <si>
    <t>MT37164781</t>
  </si>
  <si>
    <t>MT37164782</t>
  </si>
  <si>
    <t>MT37164783</t>
  </si>
  <si>
    <t>MT37164784</t>
  </si>
  <si>
    <t>MT37164785</t>
  </si>
  <si>
    <t>MT37164786</t>
  </si>
  <si>
    <t>MT37164787</t>
  </si>
  <si>
    <t>MT37164788</t>
  </si>
  <si>
    <t>MT37164789</t>
  </si>
  <si>
    <t>MT37164790</t>
  </si>
  <si>
    <t>MT37164791</t>
  </si>
  <si>
    <t>MT37164792</t>
  </si>
  <si>
    <t>MT37164793</t>
  </si>
  <si>
    <t>MT37164794</t>
  </si>
  <si>
    <t>MT37164795</t>
  </si>
  <si>
    <t>MT37164796</t>
  </si>
  <si>
    <t>MT37164797</t>
  </si>
  <si>
    <t>MT37164798</t>
  </si>
  <si>
    <t>MT37164799</t>
  </si>
  <si>
    <t>永韻</t>
    <phoneticPr fontId="4" type="noConversion"/>
  </si>
  <si>
    <t>笠玠</t>
    <phoneticPr fontId="4" type="noConversion"/>
  </si>
  <si>
    <t>全懋</t>
    <phoneticPr fontId="4" type="noConversion"/>
  </si>
  <si>
    <t>MV28173100</t>
    <phoneticPr fontId="4" type="noConversion"/>
  </si>
  <si>
    <t>MV28173101</t>
  </si>
  <si>
    <t>MV28173102</t>
  </si>
  <si>
    <t>MV28173103</t>
  </si>
  <si>
    <t>MV28173104</t>
  </si>
  <si>
    <t>MV28173105</t>
  </si>
  <si>
    <t>MV28173106</t>
  </si>
  <si>
    <t>水槽</t>
    <phoneticPr fontId="4" type="noConversion"/>
  </si>
  <si>
    <t>MT37164301</t>
  </si>
  <si>
    <t>MT37164302</t>
  </si>
  <si>
    <t>MT37164303</t>
  </si>
  <si>
    <t>MT37164304</t>
  </si>
  <si>
    <t>MT37164305</t>
  </si>
  <si>
    <t>MT37164306</t>
  </si>
  <si>
    <t>MT37164307</t>
  </si>
  <si>
    <t>MT37164308</t>
  </si>
  <si>
    <t>MT37164309</t>
  </si>
  <si>
    <t>MT37164310</t>
  </si>
  <si>
    <t>MT37164311</t>
  </si>
  <si>
    <t>MT37164312</t>
  </si>
  <si>
    <t>MT37164313</t>
  </si>
  <si>
    <t>MT37164314</t>
  </si>
  <si>
    <t>MT37164315</t>
  </si>
  <si>
    <t>MT37164316</t>
  </si>
  <si>
    <t>MT37164317</t>
  </si>
  <si>
    <t>MT37164318</t>
  </si>
  <si>
    <t>MT37164319</t>
  </si>
  <si>
    <t>MT37164320</t>
  </si>
  <si>
    <t>MT37164321</t>
  </si>
  <si>
    <t>MT37164322</t>
  </si>
  <si>
    <t>MT37164323</t>
  </si>
  <si>
    <t>MT37164324</t>
  </si>
  <si>
    <t>MT37164325</t>
  </si>
  <si>
    <t>MT37164326</t>
  </si>
  <si>
    <t>MT37164327</t>
  </si>
  <si>
    <t>MT37164328</t>
  </si>
  <si>
    <t>MT37164329</t>
  </si>
  <si>
    <t>MT37164330</t>
  </si>
  <si>
    <t>MT37164331</t>
  </si>
  <si>
    <t>MT37164332</t>
  </si>
  <si>
    <t>MT37164333</t>
  </si>
  <si>
    <t>MT37164334</t>
  </si>
  <si>
    <t>MT37164335</t>
  </si>
  <si>
    <t>MT37164336</t>
  </si>
  <si>
    <t>MT37164337</t>
  </si>
  <si>
    <t>MT37164338</t>
  </si>
  <si>
    <t>MT37164339</t>
  </si>
  <si>
    <t>MT37164340</t>
  </si>
  <si>
    <t>MT37164341</t>
  </si>
  <si>
    <t>MT37164342</t>
  </si>
  <si>
    <t>MT37164343</t>
  </si>
  <si>
    <t>MT37164344</t>
  </si>
  <si>
    <t>MT37164345</t>
  </si>
  <si>
    <t>MT37164346</t>
  </si>
  <si>
    <t>MT37164347</t>
  </si>
  <si>
    <t>MT37164348</t>
  </si>
  <si>
    <t>MT37164349</t>
  </si>
  <si>
    <t>MT37164300</t>
    <phoneticPr fontId="4" type="noConversion"/>
  </si>
  <si>
    <t>大雅</t>
    <phoneticPr fontId="4" type="noConversion"/>
  </si>
  <si>
    <t>諾德</t>
    <phoneticPr fontId="4" type="noConversion"/>
  </si>
  <si>
    <t>朋恩</t>
    <phoneticPr fontId="4" type="noConversion"/>
  </si>
  <si>
    <t>亞麗</t>
    <phoneticPr fontId="4" type="noConversion"/>
  </si>
  <si>
    <t>德安</t>
    <phoneticPr fontId="4" type="noConversion"/>
  </si>
  <si>
    <t>MT37165300</t>
    <phoneticPr fontId="4" type="noConversion"/>
  </si>
  <si>
    <t>MT37165301</t>
  </si>
  <si>
    <t>MT37165303</t>
  </si>
  <si>
    <t>MT37165304</t>
  </si>
  <si>
    <t>MT37165306</t>
  </si>
  <si>
    <t>MT37165308</t>
  </si>
  <si>
    <t>MT37165309</t>
  </si>
  <si>
    <t>MT37165310</t>
  </si>
  <si>
    <t>MT37165312</t>
  </si>
  <si>
    <t>MT37165315</t>
  </si>
  <si>
    <t>MT37165318</t>
  </si>
  <si>
    <t>MT37165319</t>
  </si>
  <si>
    <t>MT37165320</t>
  </si>
  <si>
    <t>MT37165321</t>
  </si>
  <si>
    <t>MT37165322</t>
  </si>
  <si>
    <t>MT37165323</t>
  </si>
  <si>
    <t>MT37165324</t>
  </si>
  <si>
    <t>MT37165325</t>
  </si>
  <si>
    <t>MT37165327</t>
  </si>
  <si>
    <t>MT37165328</t>
  </si>
  <si>
    <t>MT37165329</t>
  </si>
  <si>
    <t>MT37165331</t>
  </si>
  <si>
    <t>MT37165332</t>
  </si>
  <si>
    <t>MT37165333</t>
  </si>
  <si>
    <t>MT37165334</t>
  </si>
  <si>
    <t>MT37165335</t>
  </si>
  <si>
    <t>MT37165336</t>
  </si>
  <si>
    <t>MT37165337</t>
  </si>
  <si>
    <t>MT37165339</t>
  </si>
  <si>
    <t>MT37165340</t>
  </si>
  <si>
    <t>MT37165341</t>
  </si>
  <si>
    <t>MT37165342</t>
  </si>
  <si>
    <t>MT37165343</t>
  </si>
  <si>
    <t>MT37165344</t>
  </si>
  <si>
    <t>MT37165345</t>
  </si>
  <si>
    <t>MT37165346</t>
  </si>
  <si>
    <t>MT37165347</t>
  </si>
  <si>
    <t>MT37165348</t>
  </si>
  <si>
    <t>MT37165349</t>
  </si>
  <si>
    <t>女王</t>
    <phoneticPr fontId="4" type="noConversion"/>
  </si>
  <si>
    <t>預收貨款</t>
    <phoneticPr fontId="4" type="noConversion"/>
  </si>
  <si>
    <t>麗舍</t>
    <phoneticPr fontId="4" type="noConversion"/>
  </si>
  <si>
    <t>MT37165302</t>
    <phoneticPr fontId="4" type="noConversion"/>
  </si>
  <si>
    <t>進源</t>
    <phoneticPr fontId="4" type="noConversion"/>
  </si>
  <si>
    <t>作廢</t>
    <phoneticPr fontId="4" type="noConversion"/>
  </si>
  <si>
    <t>MT37165305</t>
    <phoneticPr fontId="4" type="noConversion"/>
  </si>
  <si>
    <t>碩品</t>
    <phoneticPr fontId="4" type="noConversion"/>
  </si>
  <si>
    <t>和田</t>
    <phoneticPr fontId="4" type="noConversion"/>
  </si>
  <si>
    <t>配件</t>
    <phoneticPr fontId="4" type="noConversion"/>
  </si>
  <si>
    <t>MT37165307</t>
    <phoneticPr fontId="4" type="noConversion"/>
  </si>
  <si>
    <t>樺品</t>
    <phoneticPr fontId="4" type="noConversion"/>
  </si>
  <si>
    <t>MT37165314</t>
    <phoneticPr fontId="4" type="noConversion"/>
  </si>
  <si>
    <t>富士</t>
    <phoneticPr fontId="4" type="noConversion"/>
  </si>
  <si>
    <t>主富</t>
    <phoneticPr fontId="4" type="noConversion"/>
  </si>
  <si>
    <t>積禾</t>
    <phoneticPr fontId="4" type="noConversion"/>
  </si>
  <si>
    <t>MT37165311</t>
    <phoneticPr fontId="4" type="noConversion"/>
  </si>
  <si>
    <t>豪葳</t>
    <phoneticPr fontId="4" type="noConversion"/>
  </si>
  <si>
    <t>德宜</t>
    <phoneticPr fontId="4" type="noConversion"/>
  </si>
  <si>
    <t>MT37165313</t>
    <phoneticPr fontId="4" type="noConversion"/>
  </si>
  <si>
    <t>合祥</t>
    <phoneticPr fontId="4" type="noConversion"/>
  </si>
  <si>
    <t>進源</t>
    <phoneticPr fontId="4" type="noConversion"/>
  </si>
  <si>
    <t>MT37165316</t>
    <phoneticPr fontId="4" type="noConversion"/>
  </si>
  <si>
    <t>麗舍</t>
    <phoneticPr fontId="4" type="noConversion"/>
  </si>
  <si>
    <t>MT37165317</t>
    <phoneticPr fontId="4" type="noConversion"/>
  </si>
  <si>
    <t>樺品</t>
    <phoneticPr fontId="4" type="noConversion"/>
  </si>
  <si>
    <t>合祥</t>
    <phoneticPr fontId="4" type="noConversion"/>
  </si>
  <si>
    <t>登輝</t>
    <phoneticPr fontId="4" type="noConversion"/>
  </si>
  <si>
    <t>作廢</t>
    <phoneticPr fontId="4" type="noConversion"/>
  </si>
  <si>
    <t>榛薘葳</t>
    <phoneticPr fontId="4" type="noConversion"/>
  </si>
  <si>
    <t>睦和</t>
    <phoneticPr fontId="4" type="noConversion"/>
  </si>
  <si>
    <t>森泳</t>
    <phoneticPr fontId="4" type="noConversion"/>
  </si>
  <si>
    <t>金歐</t>
    <phoneticPr fontId="4" type="noConversion"/>
  </si>
  <si>
    <t>尚有堂</t>
    <phoneticPr fontId="4" type="noConversion"/>
  </si>
  <si>
    <t>MT37165326</t>
    <phoneticPr fontId="4" type="noConversion"/>
  </si>
  <si>
    <t>駿躍</t>
    <phoneticPr fontId="4" type="noConversion"/>
  </si>
  <si>
    <t>原想</t>
    <phoneticPr fontId="4" type="noConversion"/>
  </si>
  <si>
    <t>配件</t>
    <phoneticPr fontId="4" type="noConversion"/>
  </si>
  <si>
    <t>MT37165330</t>
    <phoneticPr fontId="4" type="noConversion"/>
  </si>
  <si>
    <t>積甲</t>
    <phoneticPr fontId="4" type="noConversion"/>
  </si>
  <si>
    <t>MT37165338</t>
    <phoneticPr fontId="4" type="noConversion"/>
  </si>
  <si>
    <t>女王</t>
    <phoneticPr fontId="4" type="noConversion"/>
  </si>
  <si>
    <t>扣預收貨款</t>
    <phoneticPr fontId="4" type="noConversion"/>
  </si>
  <si>
    <r>
      <rPr>
        <sz val="12"/>
        <color theme="1"/>
        <rFont val="微軟正黑體"/>
        <family val="2"/>
        <charset val="136"/>
      </rPr>
      <t>詠瀅</t>
    </r>
    <r>
      <rPr>
        <sz val="12"/>
        <color theme="1"/>
        <rFont val="Calibri"/>
        <family val="2"/>
      </rPr>
      <t>~2</t>
    </r>
    <r>
      <rPr>
        <sz val="12"/>
        <color theme="1"/>
        <rFont val="微軟正黑體"/>
        <family val="2"/>
        <charset val="136"/>
      </rPr>
      <t>聯</t>
    </r>
    <phoneticPr fontId="4" type="noConversion"/>
  </si>
  <si>
    <t>MV28173800</t>
    <phoneticPr fontId="4" type="noConversion"/>
  </si>
  <si>
    <t>MV28173801</t>
  </si>
  <si>
    <t>諾德</t>
    <phoneticPr fontId="4" type="noConversion"/>
  </si>
  <si>
    <t>朋恩</t>
    <phoneticPr fontId="4" type="noConversion"/>
  </si>
  <si>
    <t>大雅</t>
    <phoneticPr fontId="4" type="noConversion"/>
  </si>
  <si>
    <t>東禾</t>
    <phoneticPr fontId="4" type="noConversion"/>
  </si>
  <si>
    <t>PT37082000</t>
    <phoneticPr fontId="4" type="noConversion"/>
  </si>
  <si>
    <t>PT37082002</t>
  </si>
  <si>
    <t>PT37082003</t>
  </si>
  <si>
    <t>PT37082004</t>
  </si>
  <si>
    <t>PT37082005</t>
  </si>
  <si>
    <t>PT37082006</t>
  </si>
  <si>
    <t>PT37082007</t>
  </si>
  <si>
    <t>PT37082008</t>
  </si>
  <si>
    <t>PT37082009</t>
  </si>
  <si>
    <t>PT37082010</t>
  </si>
  <si>
    <t>PT37082011</t>
  </si>
  <si>
    <t>PT37082012</t>
  </si>
  <si>
    <t>PT37082013</t>
  </si>
  <si>
    <t>PT37082014</t>
  </si>
  <si>
    <t>PT37082015</t>
  </si>
  <si>
    <t>PT37082016</t>
  </si>
  <si>
    <t>PT37081550</t>
    <phoneticPr fontId="4" type="noConversion"/>
  </si>
  <si>
    <t>PT37081551</t>
  </si>
  <si>
    <t>PT37081552</t>
  </si>
  <si>
    <t>PT37081553</t>
  </si>
  <si>
    <t>PT37081554</t>
  </si>
  <si>
    <t>PT37081555</t>
  </si>
  <si>
    <t>PT37081556</t>
  </si>
  <si>
    <t>PT37081557</t>
  </si>
  <si>
    <t>PT37081559</t>
  </si>
  <si>
    <t>PT37081560</t>
  </si>
  <si>
    <t>PT37081561</t>
  </si>
  <si>
    <t>PT37081562</t>
  </si>
  <si>
    <t>PT37081563</t>
  </si>
  <si>
    <t>PT37081564</t>
  </si>
  <si>
    <t>PT37081565</t>
  </si>
  <si>
    <t>PT37081566</t>
  </si>
  <si>
    <t>PT37081567</t>
  </si>
  <si>
    <t>湧鴻</t>
    <phoneticPr fontId="4" type="noConversion"/>
  </si>
  <si>
    <t>PT37081568</t>
  </si>
  <si>
    <t>PT37081569</t>
  </si>
  <si>
    <t>PT37081570</t>
  </si>
  <si>
    <t>PT37081571</t>
  </si>
  <si>
    <t>PT37081572</t>
  </si>
  <si>
    <t>PT37081573</t>
  </si>
  <si>
    <t>PT37081574</t>
  </si>
  <si>
    <t>PT37081575</t>
  </si>
  <si>
    <t>PT37081576</t>
  </si>
  <si>
    <t>PT37081577</t>
  </si>
  <si>
    <t>PT37081578</t>
  </si>
  <si>
    <t>PT37081579</t>
  </si>
  <si>
    <t>PT37081580</t>
  </si>
  <si>
    <t>PT37081581</t>
  </si>
  <si>
    <t>PT37081582</t>
  </si>
  <si>
    <t>PT37081583</t>
  </si>
  <si>
    <t>PT37081584</t>
  </si>
  <si>
    <t>PT37081585</t>
  </si>
  <si>
    <t>PT37081586</t>
  </si>
  <si>
    <t>PT37081587</t>
  </si>
  <si>
    <t>PT37081588</t>
  </si>
  <si>
    <t>PT37081589</t>
  </si>
  <si>
    <t>PT37081590</t>
  </si>
  <si>
    <t>PT37081591</t>
  </si>
  <si>
    <t>PT37081592</t>
  </si>
  <si>
    <t>PT37081593</t>
  </si>
  <si>
    <t>PT37081594</t>
  </si>
  <si>
    <t>PT37081595</t>
  </si>
  <si>
    <t>PT37081596</t>
  </si>
  <si>
    <t>PT37081597</t>
  </si>
  <si>
    <t>PV28017300</t>
    <phoneticPr fontId="4" type="noConversion"/>
  </si>
  <si>
    <t>PV28017301</t>
  </si>
  <si>
    <t>PV28017302</t>
  </si>
  <si>
    <t>PV28017303</t>
  </si>
  <si>
    <t>PV28017304</t>
  </si>
  <si>
    <t>PV28017305</t>
  </si>
  <si>
    <t>PT37082450</t>
    <phoneticPr fontId="4" type="noConversion"/>
  </si>
  <si>
    <t>PT37082451</t>
  </si>
  <si>
    <t>PT37082452</t>
  </si>
  <si>
    <t>PT37082453</t>
  </si>
  <si>
    <t>PT37082454</t>
  </si>
  <si>
    <t>PT37082455</t>
  </si>
  <si>
    <t>PT37082456</t>
  </si>
  <si>
    <t>PT37082457</t>
  </si>
  <si>
    <t>PT37082458</t>
  </si>
  <si>
    <t>PT37082459</t>
  </si>
  <si>
    <t>PT37082460</t>
  </si>
  <si>
    <t>PT37082461</t>
  </si>
  <si>
    <t>PT37082463</t>
  </si>
  <si>
    <t>PT37082464</t>
  </si>
  <si>
    <t>PT37082466</t>
  </si>
  <si>
    <t>PT37082467</t>
  </si>
  <si>
    <t>PT37082468</t>
  </si>
  <si>
    <t>PT37082469</t>
  </si>
  <si>
    <t>PT37082470</t>
  </si>
  <si>
    <t>PT37082471</t>
  </si>
  <si>
    <t>PT37082472</t>
  </si>
  <si>
    <t>PT37082474</t>
  </si>
  <si>
    <t>PT37082475</t>
  </si>
  <si>
    <t>PT37082480</t>
  </si>
  <si>
    <t>麗舍</t>
    <phoneticPr fontId="4" type="noConversion"/>
  </si>
  <si>
    <t>水槽</t>
    <phoneticPr fontId="4" type="noConversion"/>
  </si>
  <si>
    <t>龍頭</t>
    <phoneticPr fontId="4" type="noConversion"/>
  </si>
  <si>
    <t>配件</t>
    <phoneticPr fontId="4" type="noConversion"/>
  </si>
  <si>
    <t>傑泰</t>
    <phoneticPr fontId="4" type="noConversion"/>
  </si>
  <si>
    <t>全懋</t>
    <phoneticPr fontId="4" type="noConversion"/>
  </si>
  <si>
    <t>永韻</t>
    <phoneticPr fontId="4" type="noConversion"/>
  </si>
  <si>
    <t>東禾</t>
    <phoneticPr fontId="4" type="noConversion"/>
  </si>
  <si>
    <t>主富</t>
    <phoneticPr fontId="4" type="noConversion"/>
  </si>
  <si>
    <t>合祥</t>
    <phoneticPr fontId="4" type="noConversion"/>
  </si>
  <si>
    <t>和田</t>
    <phoneticPr fontId="4" type="noConversion"/>
  </si>
  <si>
    <t>碩品</t>
    <phoneticPr fontId="4" type="noConversion"/>
  </si>
  <si>
    <t>登輝</t>
    <phoneticPr fontId="4" type="noConversion"/>
  </si>
  <si>
    <t>森泳</t>
    <phoneticPr fontId="4" type="noConversion"/>
  </si>
  <si>
    <t>章記</t>
    <phoneticPr fontId="4" type="noConversion"/>
  </si>
  <si>
    <t>禹臣</t>
    <phoneticPr fontId="4" type="noConversion"/>
  </si>
  <si>
    <t>PT37082462</t>
    <phoneticPr fontId="4" type="noConversion"/>
  </si>
  <si>
    <t>女王</t>
    <phoneticPr fontId="4" type="noConversion"/>
  </si>
  <si>
    <t>億騰</t>
    <phoneticPr fontId="4" type="noConversion"/>
  </si>
  <si>
    <t>PT37082465</t>
    <phoneticPr fontId="4" type="noConversion"/>
  </si>
  <si>
    <t>元創</t>
    <phoneticPr fontId="4" type="noConversion"/>
  </si>
  <si>
    <t>PT37082481</t>
  </si>
  <si>
    <t>PT37082001</t>
  </si>
  <si>
    <t>PT37082017</t>
  </si>
  <si>
    <t>PT37082018</t>
  </si>
  <si>
    <t>PT37082019</t>
  </si>
  <si>
    <t>PT37082020</t>
  </si>
  <si>
    <t>PT37082021</t>
  </si>
  <si>
    <t>PT37082022</t>
  </si>
  <si>
    <t>PT37082023</t>
  </si>
  <si>
    <t>PT37082024</t>
  </si>
  <si>
    <t>PT37082025</t>
  </si>
  <si>
    <t>PT37082026</t>
  </si>
  <si>
    <t>PT37082027</t>
  </si>
  <si>
    <t>PT37082028</t>
  </si>
  <si>
    <t>PT37082029</t>
  </si>
  <si>
    <t>PT37082030</t>
  </si>
  <si>
    <t>PT37082031</t>
  </si>
  <si>
    <t>PT37082032</t>
  </si>
  <si>
    <t>PT37082033</t>
  </si>
  <si>
    <t>PT37082034</t>
  </si>
  <si>
    <t>PT37082035</t>
  </si>
  <si>
    <t>PT37082036</t>
  </si>
  <si>
    <t>PT37082037</t>
  </si>
  <si>
    <t>PT37082038</t>
  </si>
  <si>
    <t>PT37082039</t>
  </si>
  <si>
    <t>PT37082040</t>
  </si>
  <si>
    <t>PT37082041</t>
  </si>
  <si>
    <t>PT37082042</t>
  </si>
  <si>
    <t>PT37082043</t>
  </si>
  <si>
    <t>PT37082044</t>
  </si>
  <si>
    <t>PT37082045</t>
  </si>
  <si>
    <t>PT37082046</t>
  </si>
  <si>
    <t>PT37082047</t>
  </si>
  <si>
    <t>PT37082048</t>
  </si>
  <si>
    <t>PT37082049</t>
  </si>
  <si>
    <t>PT37082484</t>
  </si>
  <si>
    <t>PT37082485</t>
  </si>
  <si>
    <t>PT37082486</t>
  </si>
  <si>
    <t>PT37082488</t>
  </si>
  <si>
    <t>PT37082489</t>
  </si>
  <si>
    <t>PT37082490</t>
  </si>
  <si>
    <t>PT37082493</t>
  </si>
  <si>
    <t>PT37082494</t>
  </si>
  <si>
    <t>PT37082495</t>
  </si>
  <si>
    <t>PT37082496</t>
  </si>
  <si>
    <t>PT37082497</t>
  </si>
  <si>
    <t>PT37082498</t>
  </si>
  <si>
    <t>PT37082499</t>
  </si>
  <si>
    <t>進源</t>
    <phoneticPr fontId="4" type="noConversion"/>
  </si>
  <si>
    <t>晨楓</t>
    <phoneticPr fontId="4" type="noConversion"/>
  </si>
  <si>
    <t>禾硯</t>
    <phoneticPr fontId="4" type="noConversion"/>
  </si>
  <si>
    <t>PT37081598</t>
  </si>
  <si>
    <t>PT37081599</t>
  </si>
  <si>
    <t>作廢</t>
    <phoneticPr fontId="4" type="noConversion"/>
  </si>
  <si>
    <t>配件</t>
    <phoneticPr fontId="4" type="noConversion"/>
  </si>
  <si>
    <t>PT37081558</t>
    <phoneticPr fontId="4" type="noConversion"/>
  </si>
  <si>
    <t>大雅</t>
    <phoneticPr fontId="4" type="noConversion"/>
  </si>
  <si>
    <t>PT37081600</t>
  </si>
  <si>
    <t>德安</t>
    <phoneticPr fontId="4" type="noConversion"/>
  </si>
  <si>
    <t>傑泰</t>
    <phoneticPr fontId="4" type="noConversion"/>
  </si>
  <si>
    <t>PT37082473</t>
    <phoneticPr fontId="4" type="noConversion"/>
  </si>
  <si>
    <t>豪葳</t>
    <phoneticPr fontId="4" type="noConversion"/>
  </si>
  <si>
    <t>東匠</t>
    <phoneticPr fontId="4" type="noConversion"/>
  </si>
  <si>
    <t>合祥</t>
    <phoneticPr fontId="4" type="noConversion"/>
  </si>
  <si>
    <t>PT37082476</t>
    <phoneticPr fontId="4" type="noConversion"/>
  </si>
  <si>
    <t>PT37082478</t>
    <phoneticPr fontId="4" type="noConversion"/>
  </si>
  <si>
    <t>PT37082477</t>
    <phoneticPr fontId="4" type="noConversion"/>
  </si>
  <si>
    <t>元創</t>
    <phoneticPr fontId="4" type="noConversion"/>
  </si>
  <si>
    <t>尚有堂</t>
    <phoneticPr fontId="4" type="noConversion"/>
  </si>
  <si>
    <t>PT37082479</t>
    <phoneticPr fontId="4" type="noConversion"/>
  </si>
  <si>
    <t>主富</t>
    <phoneticPr fontId="4" type="noConversion"/>
  </si>
  <si>
    <t>樺品</t>
    <phoneticPr fontId="4" type="noConversion"/>
  </si>
  <si>
    <t>PT37082482</t>
    <phoneticPr fontId="4" type="noConversion"/>
  </si>
  <si>
    <t>巨頌</t>
    <phoneticPr fontId="4" type="noConversion"/>
  </si>
  <si>
    <t>PT37082483</t>
    <phoneticPr fontId="4" type="noConversion"/>
  </si>
  <si>
    <t>作廢</t>
    <phoneticPr fontId="4" type="noConversion"/>
  </si>
  <si>
    <t>鑫金豪</t>
    <phoneticPr fontId="4" type="noConversion"/>
  </si>
  <si>
    <t>PT37082487</t>
    <phoneticPr fontId="4" type="noConversion"/>
  </si>
  <si>
    <t>韋翰</t>
    <phoneticPr fontId="4" type="noConversion"/>
  </si>
  <si>
    <t>積禾</t>
    <phoneticPr fontId="4" type="noConversion"/>
  </si>
  <si>
    <t>女王</t>
    <phoneticPr fontId="4" type="noConversion"/>
  </si>
  <si>
    <t>PT37082491</t>
    <phoneticPr fontId="4" type="noConversion"/>
  </si>
  <si>
    <t>PT37082492</t>
    <phoneticPr fontId="4" type="noConversion"/>
  </si>
  <si>
    <t>碩品</t>
    <phoneticPr fontId="4" type="noConversion"/>
  </si>
  <si>
    <t>RT37226450</t>
    <phoneticPr fontId="4" type="noConversion"/>
  </si>
  <si>
    <t>RT37226451</t>
  </si>
  <si>
    <t>RT37226452</t>
  </si>
  <si>
    <t>RT37226454</t>
  </si>
  <si>
    <t>RT37226456</t>
  </si>
  <si>
    <t>RT37226457</t>
  </si>
  <si>
    <t>RT37226458</t>
  </si>
  <si>
    <t>RT37226459</t>
  </si>
  <si>
    <t>RT37226460</t>
  </si>
  <si>
    <t>RT37226461</t>
  </si>
  <si>
    <t>RT37226463</t>
  </si>
  <si>
    <t>RT37226464</t>
  </si>
  <si>
    <t>RT37226465</t>
  </si>
  <si>
    <t>RT37226466</t>
  </si>
  <si>
    <t>RT37226467</t>
  </si>
  <si>
    <t>RT37226468</t>
  </si>
  <si>
    <t>RT37226469</t>
  </si>
  <si>
    <t>RT37226470</t>
  </si>
  <si>
    <t>RT37226472</t>
  </si>
  <si>
    <t>RT37226475</t>
  </si>
  <si>
    <t>RT37226476</t>
  </si>
  <si>
    <t>RT37226479</t>
  </si>
  <si>
    <t>RT37226480</t>
  </si>
  <si>
    <t>RT37226481</t>
  </si>
  <si>
    <t>RT37226482</t>
  </si>
  <si>
    <t>RT37226483</t>
  </si>
  <si>
    <t>RT37226484</t>
  </si>
  <si>
    <t>RT37226485</t>
  </si>
  <si>
    <t>RT37226486</t>
  </si>
  <si>
    <t>RT37226487</t>
  </si>
  <si>
    <t>RT37226489</t>
  </si>
  <si>
    <t>RT37226490</t>
  </si>
  <si>
    <t>RT37226491</t>
  </si>
  <si>
    <t>RT37226492</t>
  </si>
  <si>
    <t>RT37226493</t>
  </si>
  <si>
    <t>RT37226494</t>
  </si>
  <si>
    <t>RT37226495</t>
  </si>
  <si>
    <t>RT37226496</t>
  </si>
  <si>
    <t>RT37226497</t>
  </si>
  <si>
    <t>RT37226498</t>
  </si>
  <si>
    <t>RT37226499</t>
  </si>
  <si>
    <t>RT37225200</t>
    <phoneticPr fontId="4" type="noConversion"/>
  </si>
  <si>
    <t>RT37225201</t>
  </si>
  <si>
    <t>RT37225202</t>
  </si>
  <si>
    <t>RT37225203</t>
  </si>
  <si>
    <t>RT37225204</t>
  </si>
  <si>
    <t>RT37225205</t>
  </si>
  <si>
    <t>RT37225207</t>
  </si>
  <si>
    <t>RT37225209</t>
  </si>
  <si>
    <t>RT37225210</t>
  </si>
  <si>
    <t>RT37225211</t>
  </si>
  <si>
    <t>RT37225212</t>
  </si>
  <si>
    <t>RT37225213</t>
  </si>
  <si>
    <t>RT37225214</t>
  </si>
  <si>
    <t>RT37225215</t>
  </si>
  <si>
    <t>RT37225216</t>
  </si>
  <si>
    <t>RT37225217</t>
  </si>
  <si>
    <t>RT37225218</t>
  </si>
  <si>
    <t>RT37225219</t>
  </si>
  <si>
    <t>RT37225220</t>
  </si>
  <si>
    <t>RT37225221</t>
  </si>
  <si>
    <t>RT37225222</t>
  </si>
  <si>
    <t>RT37225223</t>
  </si>
  <si>
    <t>RT37225224</t>
  </si>
  <si>
    <t>RT37225225</t>
  </si>
  <si>
    <t>RT37225226</t>
  </si>
  <si>
    <t>RT37225227</t>
  </si>
  <si>
    <t>RT37225228</t>
  </si>
  <si>
    <t>RT37225229</t>
  </si>
  <si>
    <t>RT37225230</t>
  </si>
  <si>
    <t>RT37225231</t>
  </si>
  <si>
    <t>RT37225232</t>
  </si>
  <si>
    <t>RT37225233</t>
  </si>
  <si>
    <t>RT37225234</t>
  </si>
  <si>
    <t>RT37225235</t>
  </si>
  <si>
    <t>RT37225236</t>
  </si>
  <si>
    <t>RT37225237</t>
  </si>
  <si>
    <t>RT37225238</t>
  </si>
  <si>
    <t>RT37225239</t>
  </si>
  <si>
    <t>RT37225240</t>
  </si>
  <si>
    <t>RT37225241</t>
  </si>
  <si>
    <t>RT37225242</t>
  </si>
  <si>
    <t>RT37225243</t>
  </si>
  <si>
    <t>RT37225244</t>
  </si>
  <si>
    <t>RT37225245</t>
  </si>
  <si>
    <t>RT37225246</t>
  </si>
  <si>
    <t>RT37225247</t>
  </si>
  <si>
    <t>RT37225248</t>
  </si>
  <si>
    <t>RT37225249</t>
  </si>
  <si>
    <t>RT37226700</t>
    <phoneticPr fontId="4" type="noConversion"/>
  </si>
  <si>
    <t>RT37226701</t>
  </si>
  <si>
    <t>RT37226702</t>
  </si>
  <si>
    <t>RT37226703</t>
  </si>
  <si>
    <t>RT37226704</t>
  </si>
  <si>
    <t>RT37226705</t>
  </si>
  <si>
    <t>RT37226706</t>
  </si>
  <si>
    <t>RT37226707</t>
  </si>
  <si>
    <t>RT37226708</t>
  </si>
  <si>
    <t>RT37226709</t>
  </si>
  <si>
    <t>RT37226710</t>
  </si>
  <si>
    <t>RT37226711</t>
  </si>
  <si>
    <t>RT37226712</t>
  </si>
  <si>
    <t>RT37226713</t>
  </si>
  <si>
    <t>RT37226714</t>
  </si>
  <si>
    <t>RT37226715</t>
  </si>
  <si>
    <t>RT37226716</t>
  </si>
  <si>
    <t>RT37226717</t>
  </si>
  <si>
    <t>RT37226718</t>
  </si>
  <si>
    <t>RT37226719</t>
  </si>
  <si>
    <t>RT37226720</t>
  </si>
  <si>
    <t>RT37226721</t>
  </si>
  <si>
    <t>RT37226722</t>
  </si>
  <si>
    <t>RT37226723</t>
  </si>
  <si>
    <t>RT37226724</t>
  </si>
  <si>
    <t>RT37226725</t>
  </si>
  <si>
    <t>RT37226726</t>
  </si>
  <si>
    <t>RT37226727</t>
  </si>
  <si>
    <t>RT37226728</t>
  </si>
  <si>
    <t>RT37226729</t>
  </si>
  <si>
    <t>RT37226730</t>
  </si>
  <si>
    <t>RT37226731</t>
  </si>
  <si>
    <t>RT37226732</t>
  </si>
  <si>
    <t>RT37226733</t>
  </si>
  <si>
    <t>RT37226734</t>
  </si>
  <si>
    <t>RT37226735</t>
  </si>
  <si>
    <t>RT37226736</t>
  </si>
  <si>
    <t>RT37226737</t>
  </si>
  <si>
    <t>RT37226738</t>
  </si>
  <si>
    <t>RT37226739</t>
  </si>
  <si>
    <t>RT37226740</t>
  </si>
  <si>
    <t>RT37226741</t>
  </si>
  <si>
    <t>RT37226742</t>
  </si>
  <si>
    <t>RT37226743</t>
  </si>
  <si>
    <t>RT37226744</t>
  </si>
  <si>
    <t>RT37226745</t>
  </si>
  <si>
    <t>RT37226746</t>
  </si>
  <si>
    <t>RT37226747</t>
  </si>
  <si>
    <t>RT37226748</t>
  </si>
  <si>
    <t>RT37226749</t>
  </si>
  <si>
    <t>RV28053250</t>
    <phoneticPr fontId="4" type="noConversion"/>
  </si>
  <si>
    <t>RV28053251</t>
  </si>
  <si>
    <t>RV28053252</t>
  </si>
  <si>
    <t>RV28053253</t>
  </si>
  <si>
    <t>RT37225206</t>
    <phoneticPr fontId="4" type="noConversion"/>
  </si>
  <si>
    <t>RT37225208</t>
    <phoneticPr fontId="4" type="noConversion"/>
  </si>
  <si>
    <t>杰特</t>
    <phoneticPr fontId="4" type="noConversion"/>
  </si>
  <si>
    <t>RT37226453</t>
    <phoneticPr fontId="4" type="noConversion"/>
  </si>
  <si>
    <t>RT37226455</t>
    <phoneticPr fontId="4" type="noConversion"/>
  </si>
  <si>
    <t>璟勝</t>
    <phoneticPr fontId="4" type="noConversion"/>
  </si>
  <si>
    <t>RT37226462</t>
    <phoneticPr fontId="4" type="noConversion"/>
  </si>
  <si>
    <t>坤紘</t>
    <phoneticPr fontId="4" type="noConversion"/>
  </si>
  <si>
    <t>RT37226471</t>
    <phoneticPr fontId="4" type="noConversion"/>
  </si>
  <si>
    <t>RT37226473</t>
    <phoneticPr fontId="4" type="noConversion"/>
  </si>
  <si>
    <t>RT37226474</t>
    <phoneticPr fontId="4" type="noConversion"/>
  </si>
  <si>
    <t>合祥</t>
    <phoneticPr fontId="4" type="noConversion"/>
  </si>
  <si>
    <t>禹臣</t>
    <phoneticPr fontId="4" type="noConversion"/>
  </si>
  <si>
    <t>RT37226477</t>
    <phoneticPr fontId="4" type="noConversion"/>
  </si>
  <si>
    <t>樺品</t>
    <phoneticPr fontId="4" type="noConversion"/>
  </si>
  <si>
    <t>麗舍</t>
    <phoneticPr fontId="4" type="noConversion"/>
  </si>
  <si>
    <t>預收貨款</t>
    <phoneticPr fontId="4" type="noConversion"/>
  </si>
  <si>
    <t>主富</t>
    <phoneticPr fontId="4" type="noConversion"/>
  </si>
  <si>
    <t>晨楓</t>
    <phoneticPr fontId="4" type="noConversion"/>
  </si>
  <si>
    <t>森泳</t>
    <phoneticPr fontId="4" type="noConversion"/>
  </si>
  <si>
    <t>RT37226488</t>
    <phoneticPr fontId="4" type="noConversion"/>
  </si>
  <si>
    <t>永聖</t>
    <phoneticPr fontId="4" type="noConversion"/>
  </si>
  <si>
    <t>女王</t>
    <phoneticPr fontId="4" type="noConversion"/>
  </si>
  <si>
    <t>作廢</t>
    <phoneticPr fontId="4" type="noConversion"/>
  </si>
  <si>
    <t>阿迪加</t>
    <phoneticPr fontId="4" type="noConversion"/>
  </si>
  <si>
    <t>工資</t>
    <phoneticPr fontId="4" type="noConversion"/>
  </si>
  <si>
    <t>諾德</t>
    <phoneticPr fontId="4" type="noConversion"/>
  </si>
  <si>
    <t>大雅</t>
    <phoneticPr fontId="4" type="noConversion"/>
  </si>
  <si>
    <t>亞麗</t>
    <phoneticPr fontId="4" type="noConversion"/>
  </si>
  <si>
    <t>德安</t>
    <phoneticPr fontId="4" type="noConversion"/>
  </si>
  <si>
    <t>京司</t>
    <phoneticPr fontId="4" type="noConversion"/>
  </si>
  <si>
    <t>龍泰</t>
    <phoneticPr fontId="4" type="noConversion"/>
  </si>
  <si>
    <t>全懋</t>
    <phoneticPr fontId="4" type="noConversion"/>
  </si>
  <si>
    <t>RT37226478</t>
    <phoneticPr fontId="4" type="noConversion"/>
  </si>
  <si>
    <t>待作廢</t>
    <phoneticPr fontId="4" type="noConversion"/>
  </si>
  <si>
    <t>TT37237000</t>
    <phoneticPr fontId="4" type="noConversion"/>
  </si>
  <si>
    <t>TT37237001</t>
  </si>
  <si>
    <t>TT37237003</t>
  </si>
  <si>
    <t>TT37237004</t>
  </si>
  <si>
    <t>TT37237005</t>
  </si>
  <si>
    <t>TT37237006</t>
  </si>
  <si>
    <t>TT37237007</t>
  </si>
  <si>
    <t>TT37237008</t>
  </si>
  <si>
    <t>TT37237009</t>
  </si>
  <si>
    <t>TT37237010</t>
  </si>
  <si>
    <t>TT37237012</t>
  </si>
  <si>
    <t>TT37237013</t>
  </si>
  <si>
    <t>TT37237014</t>
  </si>
  <si>
    <t>TT37237015</t>
  </si>
  <si>
    <t>TT37237016</t>
  </si>
  <si>
    <t>TT37237017</t>
  </si>
  <si>
    <t>TT37237018</t>
  </si>
  <si>
    <t>TT37237019</t>
  </si>
  <si>
    <t>TT37237020</t>
  </si>
  <si>
    <t>TT37237021</t>
  </si>
  <si>
    <t>TT37237022</t>
  </si>
  <si>
    <t>TT37237023</t>
  </si>
  <si>
    <t>TT37237024</t>
  </si>
  <si>
    <t>TT37237025</t>
  </si>
  <si>
    <t>TT37237026</t>
  </si>
  <si>
    <t>TT37237027</t>
  </si>
  <si>
    <t>TT37237028</t>
  </si>
  <si>
    <t>TT37237029</t>
  </si>
  <si>
    <t>TT37237030</t>
  </si>
  <si>
    <t>TT37237031</t>
  </si>
  <si>
    <t>TT37237032</t>
  </si>
  <si>
    <t>TT37237033</t>
  </si>
  <si>
    <t>TT37237034</t>
  </si>
  <si>
    <t>TT37237035</t>
  </si>
  <si>
    <t>TT37237036</t>
  </si>
  <si>
    <t>TT37237037</t>
  </si>
  <si>
    <t>TT37237038</t>
  </si>
  <si>
    <t>TT37237039</t>
  </si>
  <si>
    <t>TT37237040</t>
  </si>
  <si>
    <t>TT37237041</t>
  </si>
  <si>
    <t>TT37237042</t>
  </si>
  <si>
    <t>TT37237043</t>
  </si>
  <si>
    <t>TT37237044</t>
  </si>
  <si>
    <t>TT37237045</t>
  </si>
  <si>
    <t>TT37237046</t>
  </si>
  <si>
    <t>TT37237047</t>
  </si>
  <si>
    <t>TT37237048</t>
  </si>
  <si>
    <t>TT37237049</t>
  </si>
  <si>
    <t>TV28083450</t>
    <phoneticPr fontId="4" type="noConversion"/>
  </si>
  <si>
    <t>TV28083451</t>
  </si>
  <si>
    <t>TV28083452</t>
  </si>
  <si>
    <t>TV28083453</t>
  </si>
  <si>
    <t>TT37237002</t>
    <phoneticPr fontId="4" type="noConversion"/>
  </si>
  <si>
    <t>磨水槽工資</t>
    <phoneticPr fontId="4" type="noConversion"/>
  </si>
  <si>
    <t>TT37239700</t>
    <phoneticPr fontId="4" type="noConversion"/>
  </si>
  <si>
    <t>TT37239701</t>
  </si>
  <si>
    <t>TT37239702</t>
  </si>
  <si>
    <t>TT37239703</t>
  </si>
  <si>
    <t>TT37239704</t>
  </si>
  <si>
    <t>TT37239705</t>
  </si>
  <si>
    <t>TT37239706</t>
  </si>
  <si>
    <t>TT37239707</t>
  </si>
  <si>
    <t>TT37239708</t>
  </si>
  <si>
    <t>TT37239709</t>
  </si>
  <si>
    <t>TT37239710</t>
  </si>
  <si>
    <t>TT37239711</t>
  </si>
  <si>
    <t>TT37239712</t>
  </si>
  <si>
    <t>TT37239713</t>
  </si>
  <si>
    <t>TT37239714</t>
  </si>
  <si>
    <t>TT37239715</t>
  </si>
  <si>
    <t>TT37239716</t>
  </si>
  <si>
    <t>TT37239717</t>
  </si>
  <si>
    <t>TT37239718</t>
  </si>
  <si>
    <t>TT37239719</t>
  </si>
  <si>
    <t>TT37239720</t>
  </si>
  <si>
    <t>TT37239721</t>
  </si>
  <si>
    <t>TT37239722</t>
  </si>
  <si>
    <t>TT37239723</t>
  </si>
  <si>
    <t>TT37239724</t>
  </si>
  <si>
    <t>TT37239725</t>
  </si>
  <si>
    <t>TT37239726</t>
  </si>
  <si>
    <t>TT37239727</t>
  </si>
  <si>
    <t>TT37239728</t>
  </si>
  <si>
    <t>TT37239729</t>
  </si>
  <si>
    <t>TT37239730</t>
  </si>
  <si>
    <t>TT37239731</t>
  </si>
  <si>
    <t>TT37239732</t>
  </si>
  <si>
    <t>TT37239733</t>
  </si>
  <si>
    <t>TT37239734</t>
  </si>
  <si>
    <t>TT37239735</t>
  </si>
  <si>
    <t>TT37239736</t>
  </si>
  <si>
    <t>TT37239737</t>
  </si>
  <si>
    <t>TT37239738</t>
  </si>
  <si>
    <t>TT37239739</t>
  </si>
  <si>
    <t>TT37239740</t>
  </si>
  <si>
    <t>TT37239741</t>
  </si>
  <si>
    <t>TT37239742</t>
  </si>
  <si>
    <t>TT37239743</t>
  </si>
  <si>
    <t>TT37239744</t>
  </si>
  <si>
    <t>TT37239745</t>
  </si>
  <si>
    <t>TT37239746</t>
  </si>
  <si>
    <t>TT37239747</t>
  </si>
  <si>
    <t>TT37239748</t>
  </si>
  <si>
    <t>TT37239749</t>
  </si>
  <si>
    <t>TT37237750</t>
    <phoneticPr fontId="4" type="noConversion"/>
  </si>
  <si>
    <t>TT37237751</t>
  </si>
  <si>
    <t>TT37237752</t>
  </si>
  <si>
    <t>TT37237753</t>
  </si>
  <si>
    <t>TT37237754</t>
  </si>
  <si>
    <t>TT37237756</t>
  </si>
  <si>
    <t>TT37237757</t>
  </si>
  <si>
    <t>TT37237758</t>
  </si>
  <si>
    <t>TT37237760</t>
  </si>
  <si>
    <t>TT37237761</t>
  </si>
  <si>
    <t>TT37237762</t>
  </si>
  <si>
    <t>TT37237763</t>
  </si>
  <si>
    <t>TT37237764</t>
  </si>
  <si>
    <t>TT37237765</t>
  </si>
  <si>
    <t>TT37237766</t>
  </si>
  <si>
    <t>TT37237767</t>
  </si>
  <si>
    <t>TT37237768</t>
  </si>
  <si>
    <t>TT37237769</t>
  </si>
  <si>
    <t>TT37237770</t>
  </si>
  <si>
    <t>TT37237773</t>
  </si>
  <si>
    <t>TT37237774</t>
  </si>
  <si>
    <t>TT37237775</t>
  </si>
  <si>
    <t>TT37237776</t>
  </si>
  <si>
    <t>TT37237777</t>
  </si>
  <si>
    <t>TT37237778</t>
  </si>
  <si>
    <t>TT37237779</t>
  </si>
  <si>
    <t>TT37237780</t>
  </si>
  <si>
    <t>TT37237782</t>
  </si>
  <si>
    <t>TT37237783</t>
  </si>
  <si>
    <t>TT37237784</t>
  </si>
  <si>
    <t>TT37237785</t>
  </si>
  <si>
    <t>TT37237786</t>
  </si>
  <si>
    <t>TT37237787</t>
  </si>
  <si>
    <t>TT37237788</t>
  </si>
  <si>
    <t>TT37237789</t>
  </si>
  <si>
    <t>TT37237790</t>
  </si>
  <si>
    <t>TT37237792</t>
  </si>
  <si>
    <t>TT37237793</t>
  </si>
  <si>
    <t>TT37237794</t>
  </si>
  <si>
    <t>TT37237795</t>
  </si>
  <si>
    <t>TT37237796</t>
  </si>
  <si>
    <t>TT37237797</t>
  </si>
  <si>
    <t>TT37237798</t>
  </si>
  <si>
    <t>TT37237799</t>
  </si>
  <si>
    <r>
      <t>-</t>
    </r>
    <r>
      <rPr>
        <sz val="12"/>
        <color theme="1"/>
        <rFont val="微軟正黑體"/>
        <family val="2"/>
        <charset val="136"/>
      </rPr>
      <t>預收貨款</t>
    </r>
    <phoneticPr fontId="4" type="noConversion"/>
  </si>
  <si>
    <t>TT37237755</t>
    <phoneticPr fontId="4" type="noConversion"/>
  </si>
  <si>
    <t>TT37237759</t>
    <phoneticPr fontId="4" type="noConversion"/>
  </si>
  <si>
    <t>TT37237771</t>
    <phoneticPr fontId="4" type="noConversion"/>
  </si>
  <si>
    <t>TT37237772</t>
    <phoneticPr fontId="4" type="noConversion"/>
  </si>
  <si>
    <t>TT37237781</t>
    <phoneticPr fontId="4" type="noConversion"/>
  </si>
  <si>
    <t>尙有堂</t>
    <phoneticPr fontId="4" type="noConversion"/>
  </si>
  <si>
    <t>互全</t>
    <phoneticPr fontId="4" type="noConversion"/>
  </si>
  <si>
    <t>基鉅</t>
    <phoneticPr fontId="4" type="noConversion"/>
  </si>
  <si>
    <t>TT37237791</t>
    <phoneticPr fontId="4" type="noConversion"/>
  </si>
  <si>
    <t>東固</t>
    <phoneticPr fontId="4" type="noConversion"/>
  </si>
  <si>
    <t>TT37237011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</si>
</sst>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_-* #,##0.00_-;\-* #,##0.00_-;_-* &quot;-&quot;??_-;_-@"/>
    <numFmt numFmtId="177" formatCode="_-* #,##0_-;\-* #,##0_-;_-* &quot;-&quot;??_-;_-@"/>
    <numFmt numFmtId="178" formatCode="m&quot;月&quot;d&quot;日&quot;"/>
    <numFmt numFmtId="179" formatCode="m/d/yyyy;@"/>
    <numFmt numFmtId="180" formatCode="_-* #,##0_-;\-* #,##0_-;_-* &quot;-&quot;??_-;_-@_-"/>
  </numFmts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scheme val="minor"/>
    </font>
    <font>
      <sz val="12"/>
      <color theme="1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69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178" fontId="1" fillId="0" borderId="4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76" fontId="1" fillId="0" borderId="8" xfId="0" applyNumberFormat="1" applyFont="1" applyBorder="1" applyAlignment="1">
      <alignment vertical="center"/>
    </xf>
    <xf numFmtId="177" fontId="1" fillId="0" borderId="8" xfId="0" applyNumberFormat="1" applyFont="1" applyBorder="1" applyAlignment="1">
      <alignment vertical="center"/>
    </xf>
    <xf numFmtId="177" fontId="1" fillId="0" borderId="9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3" fillId="0" borderId="4" xfId="0" applyFont="1" applyBorder="1" applyAlignment="1">
      <alignment vertical="center"/>
    </xf>
    <xf numFmtId="177" fontId="1" fillId="0" borderId="5" xfId="1" applyNumberFormat="1" applyFont="1" applyBorder="1" applyAlignment="1">
      <alignment vertical="center"/>
    </xf>
    <xf numFmtId="178" fontId="3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38" fontId="0" fillId="0" borderId="0" xfId="0" applyNumberFormat="1" applyAlignment="1">
      <alignment vertical="center"/>
    </xf>
    <xf numFmtId="178" fontId="3" fillId="0" borderId="10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77" fontId="1" fillId="0" borderId="12" xfId="0" applyNumberFormat="1" applyFont="1" applyBorder="1" applyAlignment="1">
      <alignment vertical="center"/>
    </xf>
    <xf numFmtId="177" fontId="1" fillId="0" borderId="14" xfId="0" applyNumberFormat="1" applyFont="1" applyBorder="1" applyAlignment="1">
      <alignment vertical="center"/>
    </xf>
    <xf numFmtId="179" fontId="1" fillId="0" borderId="4" xfId="0" applyNumberFormat="1" applyFont="1" applyBorder="1" applyAlignment="1">
      <alignment vertical="center"/>
    </xf>
    <xf numFmtId="179" fontId="1" fillId="0" borderId="7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8" fontId="1" fillId="0" borderId="10" xfId="0" applyNumberFormat="1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center" vertical="center"/>
    </xf>
    <xf numFmtId="178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77" fontId="1" fillId="0" borderId="12" xfId="0" applyNumberFormat="1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7" fontId="1" fillId="0" borderId="18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178" fontId="3" fillId="0" borderId="16" xfId="0" applyNumberFormat="1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8" fontId="1" fillId="0" borderId="10" xfId="0" applyNumberFormat="1" applyFont="1" applyBorder="1" applyAlignment="1">
      <alignment vertical="center"/>
    </xf>
    <xf numFmtId="178" fontId="1" fillId="0" borderId="11" xfId="0" applyNumberFormat="1" applyFont="1" applyBorder="1" applyAlignment="1">
      <alignment vertical="center"/>
    </xf>
    <xf numFmtId="177" fontId="1" fillId="0" borderId="14" xfId="0" applyNumberFormat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5" xfId="0" applyBorder="1" applyAlignment="1">
      <alignment vertical="center"/>
    </xf>
    <xf numFmtId="178" fontId="3" fillId="0" borderId="10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2" xfId="0" applyFont="1" applyBorder="1" applyAlignment="1">
      <alignment vertical="center"/>
    </xf>
    <xf numFmtId="177" fontId="1" fillId="0" borderId="12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180" fontId="1" fillId="0" borderId="12" xfId="1" applyNumberFormat="1" applyFont="1" applyBorder="1" applyAlignment="1">
      <alignment horizontal="center" vertical="center"/>
    </xf>
    <xf numFmtId="180" fontId="1" fillId="0" borderId="13" xfId="1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L6" sqref="L6:U7"/>
    </sheetView>
  </sheetViews>
  <sheetFormatPr defaultColWidth="11.25" defaultRowHeight="15" customHeight="1" x14ac:dyDescent="0.25"/>
  <cols>
    <col min="1" max="1" width="3.25" customWidth="1"/>
    <col min="2" max="2" width="4.625" customWidth="1"/>
    <col min="3" max="6" width="3.25" customWidth="1"/>
    <col min="7" max="7" width="6" bestFit="1" customWidth="1"/>
    <col min="8" max="8" width="10" bestFit="1" customWidth="1"/>
    <col min="9" max="9" width="9.375" bestFit="1" customWidth="1"/>
    <col min="10" max="10" width="10" bestFit="1" customWidth="1"/>
    <col min="11" max="26" width="6.875" customWidth="1"/>
  </cols>
  <sheetData>
    <row r="1" spans="1:21" ht="16.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21" ht="16.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31"/>
      <c r="M2" s="34" t="s">
        <v>977</v>
      </c>
      <c r="N2" s="37"/>
      <c r="O2" s="13" t="s">
        <v>14</v>
      </c>
      <c r="P2" s="2"/>
      <c r="Q2" s="3"/>
      <c r="R2" s="4">
        <f t="shared" ref="R2:R4" si="0">P2*Q2</f>
        <v>0</v>
      </c>
      <c r="S2" s="38">
        <f>R2+R3+R4</f>
        <v>0</v>
      </c>
      <c r="T2" s="38">
        <f t="shared" ref="T2" si="1">ROUND(S2*0.05,0)</f>
        <v>0</v>
      </c>
      <c r="U2" s="41">
        <f t="shared" ref="U2" si="2">S2+T2</f>
        <v>0</v>
      </c>
    </row>
    <row r="3" spans="1:21" ht="16.5" customHeight="1" x14ac:dyDescent="0.25">
      <c r="A3" s="6"/>
      <c r="B3" s="2"/>
      <c r="C3" s="2"/>
      <c r="D3" s="2"/>
      <c r="E3" s="2"/>
      <c r="F3" s="3"/>
      <c r="G3" s="3">
        <f t="shared" ref="G3:G52" si="3">E3*F3</f>
        <v>0</v>
      </c>
      <c r="H3" s="4">
        <f t="shared" ref="H3:H52" si="4">G3</f>
        <v>0</v>
      </c>
      <c r="I3" s="4">
        <f t="shared" ref="I3:I52" si="5">ROUND(H3*0.05,0)</f>
        <v>0</v>
      </c>
      <c r="J3" s="5">
        <f t="shared" ref="J3:J52" si="6">H3+I3</f>
        <v>0</v>
      </c>
      <c r="L3" s="32"/>
      <c r="M3" s="35"/>
      <c r="N3" s="35"/>
      <c r="O3" s="13" t="s">
        <v>16</v>
      </c>
      <c r="P3" s="2"/>
      <c r="Q3" s="3"/>
      <c r="R3" s="4">
        <f t="shared" si="0"/>
        <v>0</v>
      </c>
      <c r="S3" s="39"/>
      <c r="T3" s="39"/>
      <c r="U3" s="42"/>
    </row>
    <row r="4" spans="1:21" ht="16.5" customHeight="1" x14ac:dyDescent="0.25">
      <c r="A4" s="6"/>
      <c r="B4" s="2"/>
      <c r="C4" s="2"/>
      <c r="D4" s="2"/>
      <c r="E4" s="2"/>
      <c r="F4" s="3"/>
      <c r="G4" s="3">
        <f t="shared" si="3"/>
        <v>0</v>
      </c>
      <c r="H4" s="4">
        <f t="shared" si="4"/>
        <v>0</v>
      </c>
      <c r="I4" s="4">
        <f t="shared" si="5"/>
        <v>0</v>
      </c>
      <c r="J4" s="5">
        <f t="shared" si="6"/>
        <v>0</v>
      </c>
      <c r="L4" s="33"/>
      <c r="M4" s="36"/>
      <c r="N4" s="36"/>
      <c r="O4" s="13" t="s">
        <v>15</v>
      </c>
      <c r="P4" s="2"/>
      <c r="Q4" s="3"/>
      <c r="R4" s="4">
        <f t="shared" si="0"/>
        <v>0</v>
      </c>
      <c r="S4" s="40"/>
      <c r="T4" s="40"/>
      <c r="U4" s="43"/>
    </row>
    <row r="5" spans="1:21" ht="16.5" customHeight="1" x14ac:dyDescent="0.25">
      <c r="A5" s="1"/>
      <c r="B5" s="2"/>
      <c r="C5" s="2"/>
      <c r="D5" s="2"/>
      <c r="E5" s="2"/>
      <c r="F5" s="3"/>
      <c r="G5" s="3">
        <f t="shared" si="3"/>
        <v>0</v>
      </c>
      <c r="H5" s="4">
        <f t="shared" si="4"/>
        <v>0</v>
      </c>
      <c r="I5" s="4">
        <f t="shared" si="5"/>
        <v>0</v>
      </c>
      <c r="J5" s="5">
        <f t="shared" si="6"/>
        <v>0</v>
      </c>
    </row>
    <row r="6" spans="1:21" ht="16.5" customHeight="1" x14ac:dyDescent="0.25">
      <c r="A6" s="1"/>
      <c r="B6" s="2"/>
      <c r="C6" s="2"/>
      <c r="D6" s="2"/>
      <c r="E6" s="2"/>
      <c r="F6" s="3"/>
      <c r="G6" s="3">
        <f t="shared" si="3"/>
        <v>0</v>
      </c>
      <c r="H6" s="4">
        <f t="shared" si="4"/>
        <v>0</v>
      </c>
      <c r="I6" s="4">
        <f t="shared" si="5"/>
        <v>0</v>
      </c>
      <c r="J6" s="5">
        <f t="shared" si="6"/>
        <v>0</v>
      </c>
      <c r="L6" s="31"/>
      <c r="M6" s="34" t="s">
        <v>1162</v>
      </c>
      <c r="N6" s="37"/>
      <c r="O6" s="13" t="s">
        <v>14</v>
      </c>
      <c r="P6" s="2"/>
      <c r="Q6" s="3"/>
      <c r="R6" s="16">
        <f t="shared" ref="R6:R7" si="7">P6*Q6</f>
        <v>0</v>
      </c>
      <c r="S6" s="38">
        <f>R6+R7</f>
        <v>0</v>
      </c>
      <c r="T6" s="38">
        <f t="shared" ref="T6" si="8">ROUND(S6*0.05,0)</f>
        <v>0</v>
      </c>
      <c r="U6" s="41">
        <f t="shared" ref="U6" si="9">S6+T6</f>
        <v>0</v>
      </c>
    </row>
    <row r="7" spans="1:21" ht="16.5" customHeight="1" x14ac:dyDescent="0.25">
      <c r="A7" s="1"/>
      <c r="B7" s="2"/>
      <c r="C7" s="2"/>
      <c r="D7" s="2"/>
      <c r="E7" s="2"/>
      <c r="F7" s="3"/>
      <c r="G7" s="3">
        <f t="shared" si="3"/>
        <v>0</v>
      </c>
      <c r="H7" s="4">
        <f t="shared" si="4"/>
        <v>0</v>
      </c>
      <c r="I7" s="4">
        <f t="shared" si="5"/>
        <v>0</v>
      </c>
      <c r="J7" s="5">
        <f t="shared" si="6"/>
        <v>0</v>
      </c>
      <c r="L7" s="33"/>
      <c r="M7" s="36"/>
      <c r="N7" s="36"/>
      <c r="O7" s="13" t="s">
        <v>16</v>
      </c>
      <c r="P7" s="2"/>
      <c r="Q7" s="3"/>
      <c r="R7" s="16">
        <f t="shared" si="7"/>
        <v>0</v>
      </c>
      <c r="S7" s="40"/>
      <c r="T7" s="40"/>
      <c r="U7" s="43"/>
    </row>
    <row r="8" spans="1:21" ht="16.5" customHeight="1" x14ac:dyDescent="0.25">
      <c r="A8" s="1"/>
      <c r="B8" s="2"/>
      <c r="C8" s="2"/>
      <c r="D8" s="2"/>
      <c r="E8" s="2"/>
      <c r="F8" s="3"/>
      <c r="G8" s="3">
        <f t="shared" si="3"/>
        <v>0</v>
      </c>
      <c r="H8" s="4">
        <f t="shared" si="4"/>
        <v>0</v>
      </c>
      <c r="I8" s="4">
        <f t="shared" si="5"/>
        <v>0</v>
      </c>
      <c r="J8" s="5">
        <f t="shared" si="6"/>
        <v>0</v>
      </c>
    </row>
    <row r="9" spans="1:21" ht="16.5" customHeight="1" x14ac:dyDescent="0.25">
      <c r="A9" s="1"/>
      <c r="B9" s="2"/>
      <c r="C9" s="2"/>
      <c r="D9" s="2"/>
      <c r="E9" s="2"/>
      <c r="F9" s="3"/>
      <c r="G9" s="3">
        <f t="shared" si="3"/>
        <v>0</v>
      </c>
      <c r="H9" s="4">
        <f t="shared" si="4"/>
        <v>0</v>
      </c>
      <c r="I9" s="4">
        <f t="shared" si="5"/>
        <v>0</v>
      </c>
      <c r="J9" s="5">
        <f t="shared" si="6"/>
        <v>0</v>
      </c>
    </row>
    <row r="10" spans="1:21" ht="16.5" customHeight="1" x14ac:dyDescent="0.25">
      <c r="A10" s="1"/>
      <c r="B10" s="2"/>
      <c r="C10" s="2"/>
      <c r="D10" s="2"/>
      <c r="E10" s="2"/>
      <c r="F10" s="3"/>
      <c r="G10" s="3">
        <f t="shared" si="3"/>
        <v>0</v>
      </c>
      <c r="H10" s="4">
        <f t="shared" si="4"/>
        <v>0</v>
      </c>
      <c r="I10" s="4">
        <f t="shared" si="5"/>
        <v>0</v>
      </c>
      <c r="J10" s="5">
        <f t="shared" si="6"/>
        <v>0</v>
      </c>
    </row>
    <row r="11" spans="1:21" ht="16.5" customHeight="1" x14ac:dyDescent="0.25">
      <c r="A11" s="1"/>
      <c r="B11" s="2"/>
      <c r="C11" s="2"/>
      <c r="D11" s="2"/>
      <c r="E11" s="2"/>
      <c r="F11" s="3"/>
      <c r="G11" s="3">
        <f t="shared" si="3"/>
        <v>0</v>
      </c>
      <c r="H11" s="4">
        <f t="shared" si="4"/>
        <v>0</v>
      </c>
      <c r="I11" s="4">
        <f t="shared" si="5"/>
        <v>0</v>
      </c>
      <c r="J11" s="5">
        <f t="shared" si="6"/>
        <v>0</v>
      </c>
    </row>
    <row r="12" spans="1:21" ht="16.5" customHeight="1" x14ac:dyDescent="0.25">
      <c r="A12" s="1"/>
      <c r="B12" s="2"/>
      <c r="C12" s="2"/>
      <c r="D12" s="2"/>
      <c r="E12" s="2"/>
      <c r="F12" s="3"/>
      <c r="G12" s="3">
        <f t="shared" si="3"/>
        <v>0</v>
      </c>
      <c r="H12" s="4">
        <f t="shared" si="4"/>
        <v>0</v>
      </c>
      <c r="I12" s="4">
        <f t="shared" si="5"/>
        <v>0</v>
      </c>
      <c r="J12" s="5">
        <f t="shared" si="6"/>
        <v>0</v>
      </c>
    </row>
    <row r="13" spans="1:21" ht="16.5" customHeight="1" x14ac:dyDescent="0.25">
      <c r="A13" s="1"/>
      <c r="B13" s="2"/>
      <c r="C13" s="2"/>
      <c r="D13" s="2"/>
      <c r="E13" s="2"/>
      <c r="F13" s="3"/>
      <c r="G13" s="3">
        <f t="shared" si="3"/>
        <v>0</v>
      </c>
      <c r="H13" s="4">
        <f t="shared" si="4"/>
        <v>0</v>
      </c>
      <c r="I13" s="4">
        <f t="shared" si="5"/>
        <v>0</v>
      </c>
      <c r="J13" s="5">
        <f t="shared" si="6"/>
        <v>0</v>
      </c>
    </row>
    <row r="14" spans="1:21" ht="16.5" customHeight="1" x14ac:dyDescent="0.25">
      <c r="A14" s="1"/>
      <c r="B14" s="2"/>
      <c r="C14" s="2"/>
      <c r="D14" s="2"/>
      <c r="E14" s="2"/>
      <c r="F14" s="3"/>
      <c r="G14" s="3">
        <f t="shared" si="3"/>
        <v>0</v>
      </c>
      <c r="H14" s="4">
        <f t="shared" si="4"/>
        <v>0</v>
      </c>
      <c r="I14" s="4">
        <f t="shared" si="5"/>
        <v>0</v>
      </c>
      <c r="J14" s="5">
        <f t="shared" si="6"/>
        <v>0</v>
      </c>
    </row>
    <row r="15" spans="1:21" ht="16.5" customHeight="1" x14ac:dyDescent="0.25">
      <c r="A15" s="1"/>
      <c r="B15" s="2"/>
      <c r="C15" s="2"/>
      <c r="D15" s="2"/>
      <c r="E15" s="2"/>
      <c r="F15" s="3"/>
      <c r="G15" s="3">
        <f t="shared" si="3"/>
        <v>0</v>
      </c>
      <c r="H15" s="4">
        <f t="shared" si="4"/>
        <v>0</v>
      </c>
      <c r="I15" s="4">
        <f t="shared" si="5"/>
        <v>0</v>
      </c>
      <c r="J15" s="5">
        <f t="shared" si="6"/>
        <v>0</v>
      </c>
    </row>
    <row r="16" spans="1:21" ht="16.5" customHeight="1" x14ac:dyDescent="0.25">
      <c r="A16" s="1"/>
      <c r="B16" s="2"/>
      <c r="C16" s="2"/>
      <c r="D16" s="2"/>
      <c r="E16" s="2"/>
      <c r="F16" s="3"/>
      <c r="G16" s="3">
        <f t="shared" si="3"/>
        <v>0</v>
      </c>
      <c r="H16" s="4">
        <f t="shared" si="4"/>
        <v>0</v>
      </c>
      <c r="I16" s="4">
        <f t="shared" si="5"/>
        <v>0</v>
      </c>
      <c r="J16" s="5">
        <f t="shared" si="6"/>
        <v>0</v>
      </c>
    </row>
    <row r="17" spans="1:10" ht="16.5" customHeight="1" x14ac:dyDescent="0.25">
      <c r="A17" s="1"/>
      <c r="B17" s="2"/>
      <c r="C17" s="2"/>
      <c r="D17" s="2"/>
      <c r="E17" s="2"/>
      <c r="F17" s="3"/>
      <c r="G17" s="3">
        <f t="shared" si="3"/>
        <v>0</v>
      </c>
      <c r="H17" s="4">
        <f t="shared" si="4"/>
        <v>0</v>
      </c>
      <c r="I17" s="4">
        <f t="shared" si="5"/>
        <v>0</v>
      </c>
      <c r="J17" s="5">
        <f t="shared" si="6"/>
        <v>0</v>
      </c>
    </row>
    <row r="18" spans="1:10" ht="16.5" customHeight="1" x14ac:dyDescent="0.25">
      <c r="A18" s="1"/>
      <c r="B18" s="2"/>
      <c r="C18" s="2"/>
      <c r="D18" s="2"/>
      <c r="E18" s="2"/>
      <c r="F18" s="3"/>
      <c r="G18" s="3">
        <f t="shared" si="3"/>
        <v>0</v>
      </c>
      <c r="H18" s="4">
        <f t="shared" si="4"/>
        <v>0</v>
      </c>
      <c r="I18" s="4">
        <f t="shared" si="5"/>
        <v>0</v>
      </c>
      <c r="J18" s="5">
        <f t="shared" si="6"/>
        <v>0</v>
      </c>
    </row>
    <row r="19" spans="1:10" ht="16.5" customHeight="1" x14ac:dyDescent="0.25">
      <c r="A19" s="1"/>
      <c r="B19" s="2"/>
      <c r="C19" s="2"/>
      <c r="D19" s="2"/>
      <c r="E19" s="2"/>
      <c r="F19" s="3"/>
      <c r="G19" s="3">
        <f t="shared" si="3"/>
        <v>0</v>
      </c>
      <c r="H19" s="4">
        <f t="shared" si="4"/>
        <v>0</v>
      </c>
      <c r="I19" s="4">
        <f t="shared" si="5"/>
        <v>0</v>
      </c>
      <c r="J19" s="5">
        <f t="shared" si="6"/>
        <v>0</v>
      </c>
    </row>
    <row r="20" spans="1:10" ht="16.5" customHeight="1" x14ac:dyDescent="0.25">
      <c r="A20" s="1"/>
      <c r="B20" s="2"/>
      <c r="C20" s="2"/>
      <c r="D20" s="2"/>
      <c r="E20" s="2"/>
      <c r="F20" s="3"/>
      <c r="G20" s="3">
        <f t="shared" si="3"/>
        <v>0</v>
      </c>
      <c r="H20" s="4">
        <f t="shared" si="4"/>
        <v>0</v>
      </c>
      <c r="I20" s="4">
        <f t="shared" si="5"/>
        <v>0</v>
      </c>
      <c r="J20" s="5">
        <f t="shared" si="6"/>
        <v>0</v>
      </c>
    </row>
    <row r="21" spans="1:10" ht="16.5" customHeight="1" x14ac:dyDescent="0.25">
      <c r="A21" s="1"/>
      <c r="B21" s="2"/>
      <c r="C21" s="2"/>
      <c r="D21" s="2"/>
      <c r="E21" s="2"/>
      <c r="F21" s="3"/>
      <c r="G21" s="3">
        <f t="shared" si="3"/>
        <v>0</v>
      </c>
      <c r="H21" s="4">
        <f t="shared" si="4"/>
        <v>0</v>
      </c>
      <c r="I21" s="4">
        <f t="shared" si="5"/>
        <v>0</v>
      </c>
      <c r="J21" s="5">
        <f t="shared" si="6"/>
        <v>0</v>
      </c>
    </row>
    <row r="22" spans="1:10" ht="16.5" customHeight="1" x14ac:dyDescent="0.25">
      <c r="A22" s="1"/>
      <c r="B22" s="2"/>
      <c r="C22" s="2"/>
      <c r="D22" s="2"/>
      <c r="E22" s="2"/>
      <c r="F22" s="3"/>
      <c r="G22" s="3">
        <f t="shared" si="3"/>
        <v>0</v>
      </c>
      <c r="H22" s="4">
        <f t="shared" si="4"/>
        <v>0</v>
      </c>
      <c r="I22" s="4">
        <f t="shared" si="5"/>
        <v>0</v>
      </c>
      <c r="J22" s="5">
        <f t="shared" si="6"/>
        <v>0</v>
      </c>
    </row>
    <row r="23" spans="1:10" ht="16.5" customHeight="1" x14ac:dyDescent="0.25">
      <c r="A23" s="1"/>
      <c r="B23" s="2"/>
      <c r="C23" s="2"/>
      <c r="D23" s="2"/>
      <c r="E23" s="2"/>
      <c r="F23" s="3"/>
      <c r="G23" s="3">
        <f t="shared" si="3"/>
        <v>0</v>
      </c>
      <c r="H23" s="4">
        <f t="shared" si="4"/>
        <v>0</v>
      </c>
      <c r="I23" s="4">
        <f t="shared" si="5"/>
        <v>0</v>
      </c>
      <c r="J23" s="5">
        <f t="shared" si="6"/>
        <v>0</v>
      </c>
    </row>
    <row r="24" spans="1:10" ht="16.5" customHeight="1" x14ac:dyDescent="0.25">
      <c r="A24" s="1"/>
      <c r="B24" s="2"/>
      <c r="C24" s="2"/>
      <c r="D24" s="2"/>
      <c r="E24" s="2"/>
      <c r="F24" s="3"/>
      <c r="G24" s="3">
        <f t="shared" si="3"/>
        <v>0</v>
      </c>
      <c r="H24" s="4">
        <f t="shared" si="4"/>
        <v>0</v>
      </c>
      <c r="I24" s="4">
        <f t="shared" si="5"/>
        <v>0</v>
      </c>
      <c r="J24" s="5">
        <f t="shared" si="6"/>
        <v>0</v>
      </c>
    </row>
    <row r="25" spans="1:10" ht="16.5" customHeight="1" x14ac:dyDescent="0.25">
      <c r="A25" s="1"/>
      <c r="B25" s="2"/>
      <c r="C25" s="2"/>
      <c r="D25" s="2"/>
      <c r="E25" s="2"/>
      <c r="F25" s="3"/>
      <c r="G25" s="3">
        <f t="shared" si="3"/>
        <v>0</v>
      </c>
      <c r="H25" s="4">
        <f t="shared" si="4"/>
        <v>0</v>
      </c>
      <c r="I25" s="4">
        <f t="shared" si="5"/>
        <v>0</v>
      </c>
      <c r="J25" s="5">
        <f t="shared" si="6"/>
        <v>0</v>
      </c>
    </row>
    <row r="26" spans="1:10" ht="16.5" customHeight="1" x14ac:dyDescent="0.25">
      <c r="A26" s="1"/>
      <c r="B26" s="2"/>
      <c r="C26" s="2"/>
      <c r="D26" s="2"/>
      <c r="E26" s="2"/>
      <c r="F26" s="3"/>
      <c r="G26" s="3">
        <f t="shared" si="3"/>
        <v>0</v>
      </c>
      <c r="H26" s="4">
        <f t="shared" si="4"/>
        <v>0</v>
      </c>
      <c r="I26" s="4">
        <f t="shared" si="5"/>
        <v>0</v>
      </c>
      <c r="J26" s="5">
        <f t="shared" si="6"/>
        <v>0</v>
      </c>
    </row>
    <row r="27" spans="1:10" ht="16.5" customHeight="1" x14ac:dyDescent="0.25">
      <c r="A27" s="1"/>
      <c r="B27" s="2"/>
      <c r="C27" s="2"/>
      <c r="D27" s="2"/>
      <c r="E27" s="2"/>
      <c r="F27" s="3"/>
      <c r="G27" s="3">
        <f t="shared" si="3"/>
        <v>0</v>
      </c>
      <c r="H27" s="4">
        <f t="shared" si="4"/>
        <v>0</v>
      </c>
      <c r="I27" s="4">
        <f t="shared" si="5"/>
        <v>0</v>
      </c>
      <c r="J27" s="5">
        <f t="shared" si="6"/>
        <v>0</v>
      </c>
    </row>
    <row r="28" spans="1:10" ht="16.5" customHeight="1" x14ac:dyDescent="0.25">
      <c r="A28" s="1"/>
      <c r="B28" s="2"/>
      <c r="C28" s="2"/>
      <c r="D28" s="2"/>
      <c r="E28" s="2"/>
      <c r="F28" s="3"/>
      <c r="G28" s="3">
        <f t="shared" si="3"/>
        <v>0</v>
      </c>
      <c r="H28" s="4">
        <f t="shared" si="4"/>
        <v>0</v>
      </c>
      <c r="I28" s="4">
        <f t="shared" si="5"/>
        <v>0</v>
      </c>
      <c r="J28" s="5">
        <f t="shared" si="6"/>
        <v>0</v>
      </c>
    </row>
    <row r="29" spans="1:10" ht="16.5" customHeight="1" x14ac:dyDescent="0.25">
      <c r="A29" s="1"/>
      <c r="B29" s="2"/>
      <c r="C29" s="2"/>
      <c r="D29" s="2"/>
      <c r="E29" s="2"/>
      <c r="F29" s="3"/>
      <c r="G29" s="3">
        <f t="shared" si="3"/>
        <v>0</v>
      </c>
      <c r="H29" s="4">
        <f t="shared" si="4"/>
        <v>0</v>
      </c>
      <c r="I29" s="4">
        <f t="shared" si="5"/>
        <v>0</v>
      </c>
      <c r="J29" s="5">
        <f t="shared" si="6"/>
        <v>0</v>
      </c>
    </row>
    <row r="30" spans="1:10" ht="16.5" customHeight="1" x14ac:dyDescent="0.25">
      <c r="A30" s="1"/>
      <c r="B30" s="2"/>
      <c r="C30" s="2"/>
      <c r="D30" s="2"/>
      <c r="E30" s="2"/>
      <c r="F30" s="3"/>
      <c r="G30" s="3">
        <f t="shared" si="3"/>
        <v>0</v>
      </c>
      <c r="H30" s="4">
        <f t="shared" si="4"/>
        <v>0</v>
      </c>
      <c r="I30" s="4">
        <f t="shared" si="5"/>
        <v>0</v>
      </c>
      <c r="J30" s="5">
        <f t="shared" si="6"/>
        <v>0</v>
      </c>
    </row>
    <row r="31" spans="1:10" ht="16.5" customHeight="1" x14ac:dyDescent="0.25">
      <c r="A31" s="1"/>
      <c r="B31" s="2"/>
      <c r="C31" s="2"/>
      <c r="D31" s="2"/>
      <c r="E31" s="2"/>
      <c r="F31" s="3"/>
      <c r="G31" s="3">
        <f t="shared" si="3"/>
        <v>0</v>
      </c>
      <c r="H31" s="4">
        <f t="shared" si="4"/>
        <v>0</v>
      </c>
      <c r="I31" s="4">
        <f t="shared" si="5"/>
        <v>0</v>
      </c>
      <c r="J31" s="5">
        <f t="shared" si="6"/>
        <v>0</v>
      </c>
    </row>
    <row r="32" spans="1:10" ht="16.5" customHeight="1" x14ac:dyDescent="0.25">
      <c r="A32" s="1"/>
      <c r="B32" s="2"/>
      <c r="C32" s="2"/>
      <c r="D32" s="2"/>
      <c r="E32" s="2"/>
      <c r="F32" s="3"/>
      <c r="G32" s="3">
        <f t="shared" si="3"/>
        <v>0</v>
      </c>
      <c r="H32" s="4">
        <f t="shared" si="4"/>
        <v>0</v>
      </c>
      <c r="I32" s="4">
        <f t="shared" si="5"/>
        <v>0</v>
      </c>
      <c r="J32" s="5">
        <f t="shared" si="6"/>
        <v>0</v>
      </c>
    </row>
    <row r="33" spans="1:10" ht="16.5" customHeight="1" x14ac:dyDescent="0.25">
      <c r="A33" s="1"/>
      <c r="B33" s="2"/>
      <c r="C33" s="2"/>
      <c r="D33" s="2"/>
      <c r="E33" s="2"/>
      <c r="F33" s="3"/>
      <c r="G33" s="3">
        <f t="shared" si="3"/>
        <v>0</v>
      </c>
      <c r="H33" s="4">
        <f t="shared" si="4"/>
        <v>0</v>
      </c>
      <c r="I33" s="4">
        <f t="shared" si="5"/>
        <v>0</v>
      </c>
      <c r="J33" s="5">
        <f t="shared" si="6"/>
        <v>0</v>
      </c>
    </row>
    <row r="34" spans="1:10" ht="16.5" customHeight="1" x14ac:dyDescent="0.25">
      <c r="A34" s="1"/>
      <c r="B34" s="2"/>
      <c r="C34" s="2"/>
      <c r="D34" s="2"/>
      <c r="E34" s="2"/>
      <c r="F34" s="3"/>
      <c r="G34" s="3">
        <f t="shared" si="3"/>
        <v>0</v>
      </c>
      <c r="H34" s="4">
        <f t="shared" si="4"/>
        <v>0</v>
      </c>
      <c r="I34" s="4">
        <f t="shared" si="5"/>
        <v>0</v>
      </c>
      <c r="J34" s="5">
        <f t="shared" si="6"/>
        <v>0</v>
      </c>
    </row>
    <row r="35" spans="1:10" ht="16.5" customHeight="1" x14ac:dyDescent="0.25">
      <c r="A35" s="1"/>
      <c r="B35" s="2"/>
      <c r="C35" s="2"/>
      <c r="D35" s="2"/>
      <c r="E35" s="2"/>
      <c r="F35" s="3"/>
      <c r="G35" s="3">
        <f t="shared" si="3"/>
        <v>0</v>
      </c>
      <c r="H35" s="4">
        <f t="shared" si="4"/>
        <v>0</v>
      </c>
      <c r="I35" s="4">
        <f t="shared" si="5"/>
        <v>0</v>
      </c>
      <c r="J35" s="5">
        <f t="shared" si="6"/>
        <v>0</v>
      </c>
    </row>
    <row r="36" spans="1:10" ht="16.5" customHeight="1" x14ac:dyDescent="0.25">
      <c r="A36" s="1"/>
      <c r="B36" s="2"/>
      <c r="C36" s="2"/>
      <c r="D36" s="2"/>
      <c r="E36" s="2"/>
      <c r="F36" s="3"/>
      <c r="G36" s="3">
        <f t="shared" si="3"/>
        <v>0</v>
      </c>
      <c r="H36" s="4">
        <f t="shared" si="4"/>
        <v>0</v>
      </c>
      <c r="I36" s="4">
        <f t="shared" si="5"/>
        <v>0</v>
      </c>
      <c r="J36" s="5">
        <f t="shared" si="6"/>
        <v>0</v>
      </c>
    </row>
    <row r="37" spans="1:10" ht="16.5" customHeight="1" x14ac:dyDescent="0.25">
      <c r="A37" s="1"/>
      <c r="B37" s="2"/>
      <c r="C37" s="2"/>
      <c r="D37" s="2"/>
      <c r="E37" s="2"/>
      <c r="F37" s="3"/>
      <c r="G37" s="3">
        <f t="shared" si="3"/>
        <v>0</v>
      </c>
      <c r="H37" s="4">
        <f t="shared" si="4"/>
        <v>0</v>
      </c>
      <c r="I37" s="4">
        <f t="shared" si="5"/>
        <v>0</v>
      </c>
      <c r="J37" s="5">
        <f t="shared" si="6"/>
        <v>0</v>
      </c>
    </row>
    <row r="38" spans="1:10" ht="16.5" customHeight="1" x14ac:dyDescent="0.25">
      <c r="A38" s="1"/>
      <c r="B38" s="2"/>
      <c r="C38" s="2"/>
      <c r="D38" s="2"/>
      <c r="E38" s="2"/>
      <c r="F38" s="3"/>
      <c r="G38" s="3">
        <f t="shared" si="3"/>
        <v>0</v>
      </c>
      <c r="H38" s="4">
        <f t="shared" si="4"/>
        <v>0</v>
      </c>
      <c r="I38" s="4">
        <f t="shared" si="5"/>
        <v>0</v>
      </c>
      <c r="J38" s="5">
        <f t="shared" si="6"/>
        <v>0</v>
      </c>
    </row>
    <row r="39" spans="1:10" ht="16.5" customHeight="1" x14ac:dyDescent="0.25">
      <c r="A39" s="1"/>
      <c r="B39" s="2"/>
      <c r="C39" s="2"/>
      <c r="D39" s="2"/>
      <c r="E39" s="2"/>
      <c r="F39" s="3"/>
      <c r="G39" s="3">
        <f t="shared" si="3"/>
        <v>0</v>
      </c>
      <c r="H39" s="4">
        <f t="shared" si="4"/>
        <v>0</v>
      </c>
      <c r="I39" s="4">
        <f t="shared" si="5"/>
        <v>0</v>
      </c>
      <c r="J39" s="5">
        <f t="shared" si="6"/>
        <v>0</v>
      </c>
    </row>
    <row r="40" spans="1:10" ht="16.5" customHeight="1" x14ac:dyDescent="0.25">
      <c r="A40" s="1"/>
      <c r="B40" s="2"/>
      <c r="C40" s="2"/>
      <c r="D40" s="2"/>
      <c r="E40" s="2"/>
      <c r="F40" s="3"/>
      <c r="G40" s="3">
        <f t="shared" si="3"/>
        <v>0</v>
      </c>
      <c r="H40" s="4">
        <f t="shared" si="4"/>
        <v>0</v>
      </c>
      <c r="I40" s="4">
        <f t="shared" si="5"/>
        <v>0</v>
      </c>
      <c r="J40" s="5">
        <f t="shared" si="6"/>
        <v>0</v>
      </c>
    </row>
    <row r="41" spans="1:10" ht="16.5" customHeight="1" x14ac:dyDescent="0.25">
      <c r="A41" s="1"/>
      <c r="B41" s="2"/>
      <c r="C41" s="2"/>
      <c r="D41" s="2"/>
      <c r="E41" s="2"/>
      <c r="F41" s="3"/>
      <c r="G41" s="3">
        <f t="shared" si="3"/>
        <v>0</v>
      </c>
      <c r="H41" s="4">
        <f t="shared" si="4"/>
        <v>0</v>
      </c>
      <c r="I41" s="4">
        <f t="shared" si="5"/>
        <v>0</v>
      </c>
      <c r="J41" s="5">
        <f t="shared" si="6"/>
        <v>0</v>
      </c>
    </row>
    <row r="42" spans="1:10" ht="16.5" customHeight="1" x14ac:dyDescent="0.25">
      <c r="A42" s="1"/>
      <c r="B42" s="2"/>
      <c r="C42" s="2"/>
      <c r="D42" s="2"/>
      <c r="E42" s="2"/>
      <c r="F42" s="3"/>
      <c r="G42" s="3">
        <f t="shared" si="3"/>
        <v>0</v>
      </c>
      <c r="H42" s="4">
        <f t="shared" si="4"/>
        <v>0</v>
      </c>
      <c r="I42" s="4">
        <f t="shared" si="5"/>
        <v>0</v>
      </c>
      <c r="J42" s="5">
        <f t="shared" si="6"/>
        <v>0</v>
      </c>
    </row>
    <row r="43" spans="1:10" ht="16.5" customHeight="1" x14ac:dyDescent="0.25">
      <c r="A43" s="1"/>
      <c r="B43" s="2"/>
      <c r="C43" s="2"/>
      <c r="D43" s="2"/>
      <c r="E43" s="2"/>
      <c r="F43" s="3"/>
      <c r="G43" s="3">
        <f t="shared" si="3"/>
        <v>0</v>
      </c>
      <c r="H43" s="4">
        <f t="shared" si="4"/>
        <v>0</v>
      </c>
      <c r="I43" s="4">
        <f t="shared" si="5"/>
        <v>0</v>
      </c>
      <c r="J43" s="5">
        <f t="shared" si="6"/>
        <v>0</v>
      </c>
    </row>
    <row r="44" spans="1:10" ht="16.5" customHeight="1" x14ac:dyDescent="0.25">
      <c r="A44" s="1"/>
      <c r="B44" s="2"/>
      <c r="C44" s="2"/>
      <c r="D44" s="2"/>
      <c r="E44" s="2"/>
      <c r="F44" s="3"/>
      <c r="G44" s="3">
        <f t="shared" si="3"/>
        <v>0</v>
      </c>
      <c r="H44" s="4">
        <f t="shared" si="4"/>
        <v>0</v>
      </c>
      <c r="I44" s="4">
        <f t="shared" si="5"/>
        <v>0</v>
      </c>
      <c r="J44" s="5">
        <f t="shared" si="6"/>
        <v>0</v>
      </c>
    </row>
    <row r="45" spans="1:10" ht="16.5" customHeight="1" x14ac:dyDescent="0.25">
      <c r="A45" s="1"/>
      <c r="B45" s="2"/>
      <c r="C45" s="2"/>
      <c r="D45" s="2"/>
      <c r="E45" s="2"/>
      <c r="F45" s="3"/>
      <c r="G45" s="3">
        <f t="shared" si="3"/>
        <v>0</v>
      </c>
      <c r="H45" s="4">
        <f t="shared" si="4"/>
        <v>0</v>
      </c>
      <c r="I45" s="4">
        <f t="shared" si="5"/>
        <v>0</v>
      </c>
      <c r="J45" s="5">
        <f t="shared" si="6"/>
        <v>0</v>
      </c>
    </row>
    <row r="46" spans="1:10" ht="16.5" customHeight="1" x14ac:dyDescent="0.25">
      <c r="A46" s="1"/>
      <c r="B46" s="2"/>
      <c r="C46" s="2"/>
      <c r="D46" s="2"/>
      <c r="E46" s="2"/>
      <c r="F46" s="3"/>
      <c r="G46" s="3">
        <f t="shared" si="3"/>
        <v>0</v>
      </c>
      <c r="H46" s="4">
        <f t="shared" si="4"/>
        <v>0</v>
      </c>
      <c r="I46" s="4">
        <f t="shared" si="5"/>
        <v>0</v>
      </c>
      <c r="J46" s="5">
        <f t="shared" si="6"/>
        <v>0</v>
      </c>
    </row>
    <row r="47" spans="1:10" ht="16.5" customHeight="1" x14ac:dyDescent="0.25">
      <c r="A47" s="1"/>
      <c r="B47" s="2"/>
      <c r="C47" s="2"/>
      <c r="D47" s="2"/>
      <c r="E47" s="2"/>
      <c r="F47" s="3"/>
      <c r="G47" s="3">
        <f t="shared" si="3"/>
        <v>0</v>
      </c>
      <c r="H47" s="4">
        <f t="shared" si="4"/>
        <v>0</v>
      </c>
      <c r="I47" s="4">
        <f t="shared" si="5"/>
        <v>0</v>
      </c>
      <c r="J47" s="5">
        <f t="shared" si="6"/>
        <v>0</v>
      </c>
    </row>
    <row r="48" spans="1:10" ht="16.5" customHeight="1" x14ac:dyDescent="0.25">
      <c r="A48" s="1"/>
      <c r="B48" s="2"/>
      <c r="C48" s="2"/>
      <c r="D48" s="2"/>
      <c r="E48" s="2"/>
      <c r="F48" s="3"/>
      <c r="G48" s="3">
        <f t="shared" si="3"/>
        <v>0</v>
      </c>
      <c r="H48" s="4">
        <f t="shared" si="4"/>
        <v>0</v>
      </c>
      <c r="I48" s="4">
        <f t="shared" si="5"/>
        <v>0</v>
      </c>
      <c r="J48" s="5">
        <f t="shared" si="6"/>
        <v>0</v>
      </c>
    </row>
    <row r="49" spans="1:10" ht="16.5" customHeight="1" x14ac:dyDescent="0.25">
      <c r="A49" s="1"/>
      <c r="B49" s="2"/>
      <c r="C49" s="2"/>
      <c r="D49" s="2"/>
      <c r="E49" s="2"/>
      <c r="F49" s="3"/>
      <c r="G49" s="3">
        <f t="shared" si="3"/>
        <v>0</v>
      </c>
      <c r="H49" s="4">
        <f t="shared" si="4"/>
        <v>0</v>
      </c>
      <c r="I49" s="4">
        <f t="shared" si="5"/>
        <v>0</v>
      </c>
      <c r="J49" s="5">
        <f t="shared" si="6"/>
        <v>0</v>
      </c>
    </row>
    <row r="50" spans="1:10" ht="16.5" customHeight="1" x14ac:dyDescent="0.25">
      <c r="A50" s="1"/>
      <c r="B50" s="2"/>
      <c r="C50" s="2"/>
      <c r="D50" s="2"/>
      <c r="E50" s="2"/>
      <c r="F50" s="3"/>
      <c r="G50" s="3">
        <f t="shared" si="3"/>
        <v>0</v>
      </c>
      <c r="H50" s="4">
        <f t="shared" si="4"/>
        <v>0</v>
      </c>
      <c r="I50" s="4">
        <f t="shared" si="5"/>
        <v>0</v>
      </c>
      <c r="J50" s="5">
        <f t="shared" si="6"/>
        <v>0</v>
      </c>
    </row>
    <row r="51" spans="1:10" ht="16.5" customHeight="1" x14ac:dyDescent="0.25">
      <c r="A51" s="1"/>
      <c r="B51" s="2"/>
      <c r="C51" s="2"/>
      <c r="D51" s="2"/>
      <c r="E51" s="2"/>
      <c r="F51" s="3"/>
      <c r="G51" s="3">
        <f t="shared" si="3"/>
        <v>0</v>
      </c>
      <c r="H51" s="4">
        <f t="shared" si="4"/>
        <v>0</v>
      </c>
      <c r="I51" s="4">
        <f t="shared" si="5"/>
        <v>0</v>
      </c>
      <c r="J51" s="5">
        <f t="shared" si="6"/>
        <v>0</v>
      </c>
    </row>
    <row r="52" spans="1:10" ht="16.5" customHeight="1" x14ac:dyDescent="0.25">
      <c r="A52" s="7"/>
      <c r="B52" s="8"/>
      <c r="C52" s="8"/>
      <c r="D52" s="8"/>
      <c r="E52" s="8"/>
      <c r="F52" s="9"/>
      <c r="G52" s="9">
        <f t="shared" si="3"/>
        <v>0</v>
      </c>
      <c r="H52" s="10">
        <f t="shared" si="4"/>
        <v>0</v>
      </c>
      <c r="I52" s="10">
        <f t="shared" si="5"/>
        <v>0</v>
      </c>
      <c r="J52" s="11">
        <f t="shared" si="6"/>
        <v>0</v>
      </c>
    </row>
    <row r="53" spans="1:10" ht="16.5" customHeight="1" x14ac:dyDescent="0.25">
      <c r="I53" s="14">
        <f>SUM(I3:I52)</f>
        <v>0</v>
      </c>
    </row>
    <row r="54" spans="1:10" ht="16.5" customHeight="1" x14ac:dyDescent="0.25"/>
    <row r="55" spans="1:10" ht="16.5" customHeight="1" x14ac:dyDescent="0.25"/>
    <row r="56" spans="1:10" ht="16.5" customHeight="1" x14ac:dyDescent="0.25">
      <c r="A56" s="28" t="s">
        <v>11</v>
      </c>
      <c r="B56" s="29"/>
      <c r="C56" s="29"/>
      <c r="D56" s="29"/>
      <c r="E56" s="29"/>
      <c r="F56" s="29"/>
      <c r="G56" s="29"/>
      <c r="H56" s="29"/>
      <c r="I56" s="29"/>
      <c r="J56" s="29"/>
    </row>
    <row r="57" spans="1:10" ht="16.5" customHeight="1" x14ac:dyDescent="0.25">
      <c r="A57" s="1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3" t="s">
        <v>6</v>
      </c>
      <c r="G57" s="3" t="s">
        <v>7</v>
      </c>
      <c r="H57" s="4" t="s">
        <v>12</v>
      </c>
      <c r="I57" s="4" t="s">
        <v>9</v>
      </c>
      <c r="J57" s="4" t="s">
        <v>13</v>
      </c>
    </row>
    <row r="58" spans="1:10" ht="16.5" customHeight="1" x14ac:dyDescent="0.25">
      <c r="A58" s="6"/>
      <c r="B58" s="2"/>
      <c r="C58" s="2"/>
      <c r="D58" s="2"/>
      <c r="E58" s="2"/>
      <c r="F58" s="3"/>
      <c r="G58" s="3">
        <f t="shared" ref="G58:G78" si="10">E58*F58</f>
        <v>0</v>
      </c>
      <c r="H58" s="4">
        <f t="shared" ref="H58:H78" si="11">G58</f>
        <v>0</v>
      </c>
      <c r="I58" s="12">
        <f>H58-ROUND(H58/1.05,0)</f>
        <v>0</v>
      </c>
      <c r="J58" s="4"/>
    </row>
    <row r="59" spans="1:10" ht="16.5" customHeight="1" x14ac:dyDescent="0.25">
      <c r="A59" s="6"/>
      <c r="B59" s="2"/>
      <c r="C59" s="2"/>
      <c r="D59" s="2"/>
      <c r="E59" s="2"/>
      <c r="F59" s="3"/>
      <c r="G59" s="3">
        <f t="shared" si="10"/>
        <v>0</v>
      </c>
      <c r="H59" s="4">
        <f t="shared" si="11"/>
        <v>0</v>
      </c>
      <c r="I59" s="12">
        <f t="shared" ref="I59:I78" si="12">H59-ROUND(H59/1.05,0)</f>
        <v>0</v>
      </c>
      <c r="J59" s="4"/>
    </row>
    <row r="60" spans="1:10" ht="16.5" customHeight="1" x14ac:dyDescent="0.25">
      <c r="A60" s="1"/>
      <c r="B60" s="2"/>
      <c r="C60" s="2"/>
      <c r="D60" s="2"/>
      <c r="E60" s="2"/>
      <c r="F60" s="3"/>
      <c r="G60" s="3">
        <f t="shared" si="10"/>
        <v>0</v>
      </c>
      <c r="H60" s="4">
        <f t="shared" si="11"/>
        <v>0</v>
      </c>
      <c r="I60" s="12">
        <f t="shared" si="12"/>
        <v>0</v>
      </c>
      <c r="J60" s="4"/>
    </row>
    <row r="61" spans="1:10" ht="16.5" customHeight="1" x14ac:dyDescent="0.25">
      <c r="A61" s="1"/>
      <c r="B61" s="2"/>
      <c r="C61" s="2"/>
      <c r="D61" s="2"/>
      <c r="E61" s="2"/>
      <c r="F61" s="3"/>
      <c r="G61" s="3">
        <f t="shared" si="10"/>
        <v>0</v>
      </c>
      <c r="H61" s="4">
        <f t="shared" si="11"/>
        <v>0</v>
      </c>
      <c r="I61" s="12">
        <f t="shared" si="12"/>
        <v>0</v>
      </c>
      <c r="J61" s="4"/>
    </row>
    <row r="62" spans="1:10" ht="16.5" customHeight="1" x14ac:dyDescent="0.25">
      <c r="A62" s="1"/>
      <c r="B62" s="2"/>
      <c r="C62" s="2"/>
      <c r="D62" s="2"/>
      <c r="E62" s="2"/>
      <c r="F62" s="3"/>
      <c r="G62" s="3">
        <f t="shared" si="10"/>
        <v>0</v>
      </c>
      <c r="H62" s="4">
        <f t="shared" si="11"/>
        <v>0</v>
      </c>
      <c r="I62" s="12">
        <f t="shared" si="12"/>
        <v>0</v>
      </c>
      <c r="J62" s="4"/>
    </row>
    <row r="63" spans="1:10" ht="16.5" customHeight="1" x14ac:dyDescent="0.25">
      <c r="A63" s="1"/>
      <c r="B63" s="2"/>
      <c r="C63" s="2"/>
      <c r="D63" s="2"/>
      <c r="E63" s="2"/>
      <c r="F63" s="3"/>
      <c r="G63" s="3">
        <f t="shared" si="10"/>
        <v>0</v>
      </c>
      <c r="H63" s="4">
        <f t="shared" si="11"/>
        <v>0</v>
      </c>
      <c r="I63" s="12">
        <f t="shared" si="12"/>
        <v>0</v>
      </c>
      <c r="J63" s="4"/>
    </row>
    <row r="64" spans="1:10" ht="16.5" customHeight="1" x14ac:dyDescent="0.25">
      <c r="A64" s="6"/>
      <c r="B64" s="2"/>
      <c r="C64" s="2"/>
      <c r="D64" s="2"/>
      <c r="E64" s="2"/>
      <c r="F64" s="3"/>
      <c r="G64" s="3">
        <f t="shared" si="10"/>
        <v>0</v>
      </c>
      <c r="H64" s="4">
        <f t="shared" si="11"/>
        <v>0</v>
      </c>
      <c r="I64" s="12">
        <f t="shared" si="12"/>
        <v>0</v>
      </c>
      <c r="J64" s="4"/>
    </row>
    <row r="65" spans="1:10" ht="16.5" customHeight="1" x14ac:dyDescent="0.25">
      <c r="A65" s="1"/>
      <c r="B65" s="2"/>
      <c r="C65" s="2"/>
      <c r="D65" s="2"/>
      <c r="E65" s="2"/>
      <c r="F65" s="3"/>
      <c r="G65" s="3">
        <f t="shared" si="10"/>
        <v>0</v>
      </c>
      <c r="H65" s="4">
        <f t="shared" si="11"/>
        <v>0</v>
      </c>
      <c r="I65" s="12">
        <f t="shared" si="12"/>
        <v>0</v>
      </c>
      <c r="J65" s="4"/>
    </row>
    <row r="66" spans="1:10" ht="16.5" customHeight="1" x14ac:dyDescent="0.25">
      <c r="A66" s="1"/>
      <c r="B66" s="2"/>
      <c r="C66" s="2"/>
      <c r="D66" s="2"/>
      <c r="E66" s="2"/>
      <c r="F66" s="3"/>
      <c r="G66" s="3">
        <f t="shared" si="10"/>
        <v>0</v>
      </c>
      <c r="H66" s="4">
        <f t="shared" si="11"/>
        <v>0</v>
      </c>
      <c r="I66" s="12">
        <f t="shared" si="12"/>
        <v>0</v>
      </c>
      <c r="J66" s="4"/>
    </row>
    <row r="67" spans="1:10" ht="16.5" customHeight="1" x14ac:dyDescent="0.25">
      <c r="A67" s="1"/>
      <c r="B67" s="2"/>
      <c r="C67" s="2"/>
      <c r="D67" s="2"/>
      <c r="E67" s="2"/>
      <c r="F67" s="3"/>
      <c r="G67" s="3">
        <f t="shared" si="10"/>
        <v>0</v>
      </c>
      <c r="H67" s="4">
        <f t="shared" si="11"/>
        <v>0</v>
      </c>
      <c r="I67" s="12">
        <f t="shared" si="12"/>
        <v>0</v>
      </c>
      <c r="J67" s="4"/>
    </row>
    <row r="68" spans="1:10" ht="16.5" customHeight="1" x14ac:dyDescent="0.25">
      <c r="A68" s="1"/>
      <c r="B68" s="2"/>
      <c r="C68" s="2"/>
      <c r="D68" s="2"/>
      <c r="E68" s="2"/>
      <c r="F68" s="3"/>
      <c r="G68" s="3">
        <f t="shared" si="10"/>
        <v>0</v>
      </c>
      <c r="H68" s="4">
        <f t="shared" si="11"/>
        <v>0</v>
      </c>
      <c r="I68" s="12">
        <f t="shared" si="12"/>
        <v>0</v>
      </c>
      <c r="J68" s="4"/>
    </row>
    <row r="69" spans="1:10" ht="16.5" customHeight="1" x14ac:dyDescent="0.25">
      <c r="A69" s="1"/>
      <c r="B69" s="2"/>
      <c r="C69" s="2"/>
      <c r="D69" s="2"/>
      <c r="E69" s="2"/>
      <c r="F69" s="3"/>
      <c r="G69" s="3">
        <f t="shared" si="10"/>
        <v>0</v>
      </c>
      <c r="H69" s="4">
        <f t="shared" si="11"/>
        <v>0</v>
      </c>
      <c r="I69" s="12">
        <f t="shared" si="12"/>
        <v>0</v>
      </c>
      <c r="J69" s="4"/>
    </row>
    <row r="70" spans="1:10" ht="16.5" customHeight="1" x14ac:dyDescent="0.25">
      <c r="A70" s="1"/>
      <c r="B70" s="2"/>
      <c r="C70" s="2"/>
      <c r="D70" s="2"/>
      <c r="E70" s="2"/>
      <c r="F70" s="3"/>
      <c r="G70" s="3">
        <f t="shared" si="10"/>
        <v>0</v>
      </c>
      <c r="H70" s="4">
        <f t="shared" si="11"/>
        <v>0</v>
      </c>
      <c r="I70" s="12">
        <f t="shared" si="12"/>
        <v>0</v>
      </c>
      <c r="J70" s="4"/>
    </row>
    <row r="71" spans="1:10" ht="16.5" customHeight="1" x14ac:dyDescent="0.25">
      <c r="A71" s="1"/>
      <c r="B71" s="2"/>
      <c r="C71" s="2"/>
      <c r="D71" s="2"/>
      <c r="E71" s="2"/>
      <c r="F71" s="3"/>
      <c r="G71" s="3">
        <f t="shared" si="10"/>
        <v>0</v>
      </c>
      <c r="H71" s="4">
        <f t="shared" si="11"/>
        <v>0</v>
      </c>
      <c r="I71" s="12">
        <f t="shared" si="12"/>
        <v>0</v>
      </c>
      <c r="J71" s="4"/>
    </row>
    <row r="72" spans="1:10" ht="16.5" customHeight="1" x14ac:dyDescent="0.25">
      <c r="A72" s="1"/>
      <c r="B72" s="2"/>
      <c r="C72" s="2"/>
      <c r="D72" s="2"/>
      <c r="E72" s="2"/>
      <c r="F72" s="3"/>
      <c r="G72" s="3">
        <f t="shared" si="10"/>
        <v>0</v>
      </c>
      <c r="H72" s="4">
        <f t="shared" si="11"/>
        <v>0</v>
      </c>
      <c r="I72" s="12">
        <f t="shared" si="12"/>
        <v>0</v>
      </c>
      <c r="J72" s="4"/>
    </row>
    <row r="73" spans="1:10" ht="16.5" customHeight="1" x14ac:dyDescent="0.25">
      <c r="A73" s="1"/>
      <c r="B73" s="2"/>
      <c r="C73" s="2"/>
      <c r="D73" s="2"/>
      <c r="E73" s="2"/>
      <c r="F73" s="3"/>
      <c r="G73" s="3">
        <f t="shared" si="10"/>
        <v>0</v>
      </c>
      <c r="H73" s="4">
        <f t="shared" si="11"/>
        <v>0</v>
      </c>
      <c r="I73" s="12">
        <f t="shared" si="12"/>
        <v>0</v>
      </c>
      <c r="J73" s="4"/>
    </row>
    <row r="74" spans="1:10" ht="16.5" customHeight="1" x14ac:dyDescent="0.25">
      <c r="A74" s="1"/>
      <c r="B74" s="2"/>
      <c r="C74" s="2"/>
      <c r="D74" s="2"/>
      <c r="E74" s="2"/>
      <c r="F74" s="3"/>
      <c r="G74" s="3">
        <f t="shared" si="10"/>
        <v>0</v>
      </c>
      <c r="H74" s="4">
        <f t="shared" si="11"/>
        <v>0</v>
      </c>
      <c r="I74" s="12">
        <f t="shared" si="12"/>
        <v>0</v>
      </c>
      <c r="J74" s="4"/>
    </row>
    <row r="75" spans="1:10" ht="16.5" customHeight="1" x14ac:dyDescent="0.25">
      <c r="A75" s="1"/>
      <c r="B75" s="2"/>
      <c r="C75" s="2"/>
      <c r="D75" s="2"/>
      <c r="E75" s="2"/>
      <c r="F75" s="3"/>
      <c r="G75" s="3">
        <f t="shared" si="10"/>
        <v>0</v>
      </c>
      <c r="H75" s="4">
        <f t="shared" si="11"/>
        <v>0</v>
      </c>
      <c r="I75" s="12">
        <f t="shared" si="12"/>
        <v>0</v>
      </c>
      <c r="J75" s="4"/>
    </row>
    <row r="76" spans="1:10" ht="16.5" customHeight="1" x14ac:dyDescent="0.25">
      <c r="A76" s="1"/>
      <c r="B76" s="2"/>
      <c r="C76" s="2"/>
      <c r="D76" s="2"/>
      <c r="E76" s="2"/>
      <c r="F76" s="3"/>
      <c r="G76" s="3">
        <f t="shared" si="10"/>
        <v>0</v>
      </c>
      <c r="H76" s="4">
        <f t="shared" si="11"/>
        <v>0</v>
      </c>
      <c r="I76" s="12">
        <f t="shared" si="12"/>
        <v>0</v>
      </c>
      <c r="J76" s="4"/>
    </row>
    <row r="77" spans="1:10" ht="16.5" customHeight="1" x14ac:dyDescent="0.25">
      <c r="A77" s="1"/>
      <c r="B77" s="2"/>
      <c r="C77" s="2"/>
      <c r="D77" s="2"/>
      <c r="E77" s="2"/>
      <c r="F77" s="3"/>
      <c r="G77" s="3">
        <f t="shared" si="10"/>
        <v>0</v>
      </c>
      <c r="H77" s="4">
        <f t="shared" si="11"/>
        <v>0</v>
      </c>
      <c r="I77" s="12">
        <f t="shared" si="12"/>
        <v>0</v>
      </c>
      <c r="J77" s="4"/>
    </row>
    <row r="78" spans="1:10" ht="16.5" customHeight="1" x14ac:dyDescent="0.25">
      <c r="A78" s="7"/>
      <c r="B78" s="8"/>
      <c r="C78" s="8"/>
      <c r="D78" s="8"/>
      <c r="E78" s="8"/>
      <c r="F78" s="9"/>
      <c r="G78" s="9">
        <f t="shared" si="10"/>
        <v>0</v>
      </c>
      <c r="H78" s="10">
        <f t="shared" si="11"/>
        <v>0</v>
      </c>
      <c r="I78" s="12">
        <f t="shared" si="12"/>
        <v>0</v>
      </c>
      <c r="J78" s="10"/>
    </row>
    <row r="79" spans="1:10" ht="16.5" customHeight="1" x14ac:dyDescent="0.25"/>
    <row r="80" spans="1:1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S2:S4"/>
    <mergeCell ref="T2:T4"/>
    <mergeCell ref="U2:U4"/>
    <mergeCell ref="L6:L7"/>
    <mergeCell ref="M6:M7"/>
    <mergeCell ref="N6:N7"/>
    <mergeCell ref="S6:S7"/>
    <mergeCell ref="T6:T7"/>
    <mergeCell ref="U6:U7"/>
    <mergeCell ref="A1:J1"/>
    <mergeCell ref="A56:J56"/>
    <mergeCell ref="L2:L4"/>
    <mergeCell ref="M2:M4"/>
    <mergeCell ref="N2:N4"/>
  </mergeCells>
  <phoneticPr fontId="4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184C-BC26-4127-AB22-A89B066C67B5}">
  <sheetPr>
    <pageSetUpPr fitToPage="1"/>
  </sheetPr>
  <dimension ref="A1:AF62"/>
  <sheetViews>
    <sheetView tabSelected="1" topLeftCell="J1" workbookViewId="0">
      <selection activeCell="V20" sqref="V20"/>
    </sheetView>
  </sheetViews>
  <sheetFormatPr defaultRowHeight="15.75" x14ac:dyDescent="0.25"/>
  <cols>
    <col min="1" max="1" width="9.375" bestFit="1" customWidth="1"/>
    <col min="2" max="2" width="11.75" bestFit="1" customWidth="1"/>
    <col min="6" max="6" width="9.625" bestFit="1" customWidth="1"/>
    <col min="7" max="7" width="13.625" bestFit="1" customWidth="1"/>
    <col min="8" max="8" width="10.875" bestFit="1" customWidth="1"/>
    <col min="9" max="9" width="9.25" bestFit="1" customWidth="1"/>
    <col min="10" max="10" width="10.875" bestFit="1" customWidth="1"/>
    <col min="12" max="12" width="9.375" bestFit="1" customWidth="1"/>
    <col min="13" max="13" width="11.5" bestFit="1" customWidth="1"/>
    <col min="16" max="16" width="5.375" bestFit="1" customWidth="1"/>
    <col min="17" max="17" width="10.75" bestFit="1" customWidth="1"/>
    <col min="18" max="18" width="11.75" bestFit="1" customWidth="1"/>
    <col min="20" max="20" width="9.25" bestFit="1" customWidth="1"/>
    <col min="23" max="23" width="9.375" bestFit="1" customWidth="1"/>
    <col min="24" max="24" width="11.625" bestFit="1" customWidth="1"/>
    <col min="28" max="28" width="9.625" bestFit="1" customWidth="1"/>
    <col min="29" max="29" width="13.375" bestFit="1" customWidth="1"/>
    <col min="30" max="30" width="10.75" bestFit="1" customWidth="1"/>
    <col min="31" max="31" width="9.25" bestFit="1" customWidth="1"/>
    <col min="32" max="32" width="10.75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6">
        <v>45962</v>
      </c>
      <c r="B3" s="2" t="s">
        <v>1003</v>
      </c>
      <c r="C3" s="13" t="s">
        <v>126</v>
      </c>
      <c r="D3" s="13" t="s">
        <v>14</v>
      </c>
      <c r="E3" s="2">
        <v>156</v>
      </c>
      <c r="F3" s="3">
        <v>2826.22</v>
      </c>
      <c r="G3" s="3">
        <f t="shared" ref="G3:G54" si="0">E3*F3</f>
        <v>440890.31999999995</v>
      </c>
      <c r="H3" s="4">
        <f t="shared" ref="H3:H54" si="1">G3</f>
        <v>440890.31999999995</v>
      </c>
      <c r="I3" s="4">
        <f t="shared" ref="I3:I54" si="2">ROUND(H3*0.05,0)</f>
        <v>22045</v>
      </c>
      <c r="J3" s="5">
        <f t="shared" ref="J3:J54" si="3">H3+I3</f>
        <v>462935.31999999995</v>
      </c>
      <c r="L3" s="17" t="s">
        <v>187</v>
      </c>
      <c r="M3" s="2" t="s">
        <v>1107</v>
      </c>
      <c r="N3" s="2"/>
      <c r="O3" s="2"/>
      <c r="P3" s="2"/>
      <c r="Q3" s="3"/>
      <c r="R3" s="3">
        <f t="shared" ref="R3:R61" si="4">P3*Q3</f>
        <v>0</v>
      </c>
      <c r="S3" s="4">
        <f t="shared" ref="S3:S61" si="5">R3</f>
        <v>0</v>
      </c>
      <c r="T3" s="4">
        <f t="shared" ref="T3:T61" si="6">ROUND(S3*0.05,0)</f>
        <v>0</v>
      </c>
      <c r="U3" s="5">
        <f t="shared" ref="U3:U61" si="7">S3+T3</f>
        <v>0</v>
      </c>
      <c r="W3" s="17" t="s">
        <v>187</v>
      </c>
      <c r="X3" s="2" t="s">
        <v>1057</v>
      </c>
      <c r="Y3" s="2"/>
      <c r="Z3" s="2"/>
      <c r="AA3" s="2"/>
      <c r="AB3" s="3"/>
      <c r="AC3" s="3">
        <f t="shared" ref="AC3:AC52" si="8">AA3*AB3</f>
        <v>0</v>
      </c>
      <c r="AD3" s="4">
        <f t="shared" ref="AD3:AD52" si="9">AC3</f>
        <v>0</v>
      </c>
      <c r="AE3" s="4">
        <f t="shared" ref="AE3:AE52" si="10">ROUND(AD3*0.05,0)</f>
        <v>0</v>
      </c>
      <c r="AF3" s="5">
        <f t="shared" ref="AF3:AF52" si="11">AD3+AE3</f>
        <v>0</v>
      </c>
    </row>
    <row r="4" spans="1:32" x14ac:dyDescent="0.25">
      <c r="A4" s="6">
        <v>45962</v>
      </c>
      <c r="B4" s="2" t="s">
        <v>1004</v>
      </c>
      <c r="C4" s="13" t="s">
        <v>127</v>
      </c>
      <c r="D4" s="13" t="s">
        <v>14</v>
      </c>
      <c r="E4" s="2">
        <v>56</v>
      </c>
      <c r="F4" s="3">
        <v>2374.64</v>
      </c>
      <c r="G4" s="3">
        <f t="shared" si="0"/>
        <v>132979.84</v>
      </c>
      <c r="H4" s="4">
        <f t="shared" si="1"/>
        <v>132979.84</v>
      </c>
      <c r="I4" s="4">
        <f t="shared" si="2"/>
        <v>6649</v>
      </c>
      <c r="J4" s="5">
        <f t="shared" si="3"/>
        <v>139628.84</v>
      </c>
      <c r="L4" s="44">
        <v>45962</v>
      </c>
      <c r="M4" s="34" t="s">
        <v>1108</v>
      </c>
      <c r="N4" s="47" t="s">
        <v>173</v>
      </c>
      <c r="O4" s="13" t="s">
        <v>14</v>
      </c>
      <c r="P4" s="2">
        <v>35</v>
      </c>
      <c r="Q4" s="3">
        <v>3323.66</v>
      </c>
      <c r="R4" s="3">
        <f t="shared" si="4"/>
        <v>116328.09999999999</v>
      </c>
      <c r="S4" s="38">
        <f>SUM(R4:R7)</f>
        <v>306092.40000000002</v>
      </c>
      <c r="T4" s="38">
        <f>ROUND(S4*0.05,0)</f>
        <v>15305</v>
      </c>
      <c r="U4" s="41">
        <f>S4+T4</f>
        <v>321397.40000000002</v>
      </c>
      <c r="W4" s="6">
        <v>45962</v>
      </c>
      <c r="X4" s="2" t="s">
        <v>1058</v>
      </c>
      <c r="Y4" s="13" t="s">
        <v>383</v>
      </c>
      <c r="Z4" s="13" t="s">
        <v>14</v>
      </c>
      <c r="AA4" s="2">
        <v>32</v>
      </c>
      <c r="AB4" s="3">
        <f>AC4/AA4</f>
        <v>3176.5625</v>
      </c>
      <c r="AC4" s="3">
        <v>101650</v>
      </c>
      <c r="AD4" s="4">
        <f t="shared" si="9"/>
        <v>101650</v>
      </c>
      <c r="AE4" s="4">
        <f t="shared" si="10"/>
        <v>5083</v>
      </c>
      <c r="AF4" s="5">
        <f t="shared" si="11"/>
        <v>106733</v>
      </c>
    </row>
    <row r="5" spans="1:32" x14ac:dyDescent="0.25">
      <c r="A5" s="31">
        <v>45962</v>
      </c>
      <c r="B5" s="34" t="s">
        <v>1055</v>
      </c>
      <c r="C5" s="37" t="s">
        <v>411</v>
      </c>
      <c r="D5" s="13" t="s">
        <v>14</v>
      </c>
      <c r="E5" s="2">
        <v>2</v>
      </c>
      <c r="F5" s="3">
        <v>2400</v>
      </c>
      <c r="G5" s="16">
        <f t="shared" si="0"/>
        <v>4800</v>
      </c>
      <c r="H5" s="38">
        <f>G5+G6</f>
        <v>7800</v>
      </c>
      <c r="I5" s="38">
        <f t="shared" si="2"/>
        <v>390</v>
      </c>
      <c r="J5" s="41">
        <f t="shared" si="3"/>
        <v>8190</v>
      </c>
      <c r="L5" s="45"/>
      <c r="M5" s="35"/>
      <c r="N5" s="48"/>
      <c r="O5" s="13" t="s">
        <v>16</v>
      </c>
      <c r="P5" s="2">
        <v>90</v>
      </c>
      <c r="Q5" s="3">
        <v>2525.17</v>
      </c>
      <c r="R5" s="3">
        <f t="shared" si="4"/>
        <v>227265.30000000002</v>
      </c>
      <c r="S5" s="39"/>
      <c r="T5" s="39"/>
      <c r="U5" s="42"/>
      <c r="W5" s="6">
        <v>45974</v>
      </c>
      <c r="X5" s="2" t="s">
        <v>1059</v>
      </c>
      <c r="Y5" s="13" t="s">
        <v>383</v>
      </c>
      <c r="Z5" s="13" t="s">
        <v>14</v>
      </c>
      <c r="AA5" s="2">
        <v>502</v>
      </c>
      <c r="AB5" s="3">
        <f>AC5/AA5</f>
        <v>2221.7131474103585</v>
      </c>
      <c r="AC5" s="3">
        <v>1115300</v>
      </c>
      <c r="AD5" s="4">
        <f t="shared" si="9"/>
        <v>1115300</v>
      </c>
      <c r="AE5" s="4">
        <f t="shared" si="10"/>
        <v>55765</v>
      </c>
      <c r="AF5" s="5">
        <f t="shared" si="11"/>
        <v>1171065</v>
      </c>
    </row>
    <row r="6" spans="1:32" x14ac:dyDescent="0.25">
      <c r="A6" s="33"/>
      <c r="B6" s="36"/>
      <c r="C6" s="36"/>
      <c r="D6" s="13" t="s">
        <v>16</v>
      </c>
      <c r="E6" s="2">
        <v>2</v>
      </c>
      <c r="F6" s="3">
        <v>1500</v>
      </c>
      <c r="G6" s="16">
        <f t="shared" si="0"/>
        <v>3000</v>
      </c>
      <c r="H6" s="40"/>
      <c r="I6" s="40"/>
      <c r="J6" s="43"/>
      <c r="L6" s="45"/>
      <c r="M6" s="35"/>
      <c r="N6" s="48"/>
      <c r="O6" s="13" t="s">
        <v>15</v>
      </c>
      <c r="P6" s="2">
        <v>1</v>
      </c>
      <c r="Q6" s="3">
        <v>619</v>
      </c>
      <c r="R6" s="3">
        <f t="shared" si="4"/>
        <v>619</v>
      </c>
      <c r="S6" s="39"/>
      <c r="T6" s="39"/>
      <c r="U6" s="42"/>
      <c r="W6" s="6">
        <v>45992</v>
      </c>
      <c r="X6" s="2" t="s">
        <v>1060</v>
      </c>
      <c r="Y6" s="13" t="s">
        <v>383</v>
      </c>
      <c r="Z6" s="13" t="s">
        <v>14</v>
      </c>
      <c r="AA6" s="2">
        <v>475</v>
      </c>
      <c r="AB6" s="3">
        <v>2174.61</v>
      </c>
      <c r="AC6" s="3">
        <f t="shared" si="8"/>
        <v>1032939.7500000001</v>
      </c>
      <c r="AD6" s="4">
        <f t="shared" si="9"/>
        <v>1032939.7500000001</v>
      </c>
      <c r="AE6" s="4">
        <f t="shared" si="10"/>
        <v>51647</v>
      </c>
      <c r="AF6" s="5">
        <f t="shared" si="11"/>
        <v>1084586.75</v>
      </c>
    </row>
    <row r="7" spans="1:32" x14ac:dyDescent="0.25">
      <c r="A7" s="6">
        <v>45965</v>
      </c>
      <c r="B7" s="2" t="s">
        <v>1005</v>
      </c>
      <c r="C7" s="13" t="s">
        <v>197</v>
      </c>
      <c r="D7" s="13" t="s">
        <v>14</v>
      </c>
      <c r="E7" s="2">
        <v>14</v>
      </c>
      <c r="F7" s="3">
        <v>3500</v>
      </c>
      <c r="G7" s="3">
        <f t="shared" si="0"/>
        <v>49000</v>
      </c>
      <c r="H7" s="4">
        <f t="shared" si="1"/>
        <v>49000</v>
      </c>
      <c r="I7" s="4">
        <f t="shared" si="2"/>
        <v>2450</v>
      </c>
      <c r="J7" s="5">
        <f t="shared" si="3"/>
        <v>51450</v>
      </c>
      <c r="L7" s="46"/>
      <c r="M7" s="36"/>
      <c r="N7" s="49"/>
      <c r="O7" s="27" t="s">
        <v>1151</v>
      </c>
      <c r="P7" s="2"/>
      <c r="Q7" s="3"/>
      <c r="R7" s="3">
        <v>-38120</v>
      </c>
      <c r="S7" s="40"/>
      <c r="T7" s="40"/>
      <c r="U7" s="43"/>
      <c r="W7" s="6">
        <v>46000</v>
      </c>
      <c r="X7" s="2" t="s">
        <v>1061</v>
      </c>
      <c r="Y7" s="13" t="s">
        <v>383</v>
      </c>
      <c r="Z7" s="13" t="s">
        <v>14</v>
      </c>
      <c r="AA7" s="2">
        <v>151</v>
      </c>
      <c r="AB7" s="3">
        <v>2326.4899999999998</v>
      </c>
      <c r="AC7" s="3">
        <f t="shared" si="8"/>
        <v>351299.99</v>
      </c>
      <c r="AD7" s="4">
        <f t="shared" si="9"/>
        <v>351299.99</v>
      </c>
      <c r="AE7" s="4">
        <f t="shared" si="10"/>
        <v>17565</v>
      </c>
      <c r="AF7" s="5">
        <f t="shared" si="11"/>
        <v>368864.99</v>
      </c>
    </row>
    <row r="8" spans="1:32" ht="16.5" x14ac:dyDescent="0.25">
      <c r="A8" s="6">
        <v>45967</v>
      </c>
      <c r="B8" s="2" t="s">
        <v>1006</v>
      </c>
      <c r="C8" s="13" t="s">
        <v>125</v>
      </c>
      <c r="D8" s="13" t="s">
        <v>1056</v>
      </c>
      <c r="E8" s="2">
        <v>1</v>
      </c>
      <c r="F8" s="3">
        <v>6500</v>
      </c>
      <c r="G8" s="3">
        <f t="shared" si="0"/>
        <v>6500</v>
      </c>
      <c r="H8" s="4">
        <f t="shared" si="1"/>
        <v>6500</v>
      </c>
      <c r="I8" s="4">
        <f t="shared" si="2"/>
        <v>325</v>
      </c>
      <c r="J8" s="5">
        <f t="shared" si="3"/>
        <v>6825</v>
      </c>
      <c r="L8" s="6">
        <v>45962</v>
      </c>
      <c r="M8" s="2" t="s">
        <v>1109</v>
      </c>
      <c r="N8" s="13" t="s">
        <v>365</v>
      </c>
      <c r="O8" s="13" t="s">
        <v>15</v>
      </c>
      <c r="P8" s="2">
        <v>1</v>
      </c>
      <c r="Q8" s="3">
        <v>700</v>
      </c>
      <c r="R8" s="3">
        <f t="shared" si="4"/>
        <v>700</v>
      </c>
      <c r="S8" s="4">
        <f t="shared" si="5"/>
        <v>700</v>
      </c>
      <c r="T8" s="4">
        <f t="shared" si="6"/>
        <v>35</v>
      </c>
      <c r="U8" s="5">
        <f t="shared" si="7"/>
        <v>735</v>
      </c>
      <c r="W8" s="6">
        <v>46014</v>
      </c>
      <c r="X8" s="2" t="s">
        <v>1062</v>
      </c>
      <c r="Y8" s="67" t="s">
        <v>71</v>
      </c>
      <c r="Z8" s="67" t="s">
        <v>15</v>
      </c>
      <c r="AA8" s="2">
        <v>20</v>
      </c>
      <c r="AB8" s="3">
        <v>200</v>
      </c>
      <c r="AC8" s="3">
        <f t="shared" si="8"/>
        <v>4000</v>
      </c>
      <c r="AD8" s="4">
        <f t="shared" si="9"/>
        <v>4000</v>
      </c>
      <c r="AE8" s="4">
        <f t="shared" si="10"/>
        <v>200</v>
      </c>
      <c r="AF8" s="5">
        <f t="shared" si="11"/>
        <v>4200</v>
      </c>
    </row>
    <row r="9" spans="1:32" x14ac:dyDescent="0.25">
      <c r="A9" s="6">
        <v>45975</v>
      </c>
      <c r="B9" s="2" t="s">
        <v>1007</v>
      </c>
      <c r="C9" s="13" t="s">
        <v>199</v>
      </c>
      <c r="D9" s="13" t="s">
        <v>16</v>
      </c>
      <c r="E9" s="2">
        <v>10</v>
      </c>
      <c r="F9" s="3">
        <v>3000</v>
      </c>
      <c r="G9" s="3">
        <f t="shared" si="0"/>
        <v>30000</v>
      </c>
      <c r="H9" s="4">
        <f t="shared" si="1"/>
        <v>30000</v>
      </c>
      <c r="I9" s="4">
        <f t="shared" si="2"/>
        <v>1500</v>
      </c>
      <c r="J9" s="5">
        <f t="shared" si="3"/>
        <v>31500</v>
      </c>
      <c r="L9" s="6">
        <v>45962</v>
      </c>
      <c r="M9" s="2" t="s">
        <v>1110</v>
      </c>
      <c r="N9" s="13" t="s">
        <v>790</v>
      </c>
      <c r="O9" s="13" t="s">
        <v>15</v>
      </c>
      <c r="P9" s="2">
        <v>1</v>
      </c>
      <c r="Q9" s="3">
        <v>500</v>
      </c>
      <c r="R9" s="3">
        <f t="shared" si="4"/>
        <v>500</v>
      </c>
      <c r="S9" s="4">
        <f t="shared" si="5"/>
        <v>500</v>
      </c>
      <c r="T9" s="4">
        <f t="shared" si="6"/>
        <v>25</v>
      </c>
      <c r="U9" s="5">
        <f t="shared" si="7"/>
        <v>525</v>
      </c>
      <c r="W9" s="1"/>
      <c r="X9" s="2" t="s">
        <v>1063</v>
      </c>
      <c r="Y9" s="2"/>
      <c r="Z9" s="2"/>
      <c r="AA9" s="2"/>
      <c r="AB9" s="3"/>
      <c r="AC9" s="3">
        <f t="shared" si="8"/>
        <v>0</v>
      </c>
      <c r="AD9" s="4">
        <f t="shared" si="9"/>
        <v>0</v>
      </c>
      <c r="AE9" s="4">
        <f t="shared" si="10"/>
        <v>0</v>
      </c>
      <c r="AF9" s="5">
        <f t="shared" si="11"/>
        <v>0</v>
      </c>
    </row>
    <row r="10" spans="1:32" ht="16.5" x14ac:dyDescent="0.25">
      <c r="A10" s="6">
        <v>45992</v>
      </c>
      <c r="B10" s="2" t="s">
        <v>1008</v>
      </c>
      <c r="C10" s="67" t="s">
        <v>127</v>
      </c>
      <c r="D10" s="13" t="s">
        <v>14</v>
      </c>
      <c r="E10" s="2">
        <v>3</v>
      </c>
      <c r="F10" s="3">
        <v>2708.33</v>
      </c>
      <c r="G10" s="3">
        <f t="shared" si="0"/>
        <v>8124.99</v>
      </c>
      <c r="H10" s="4">
        <f t="shared" si="1"/>
        <v>8124.99</v>
      </c>
      <c r="I10" s="4">
        <f t="shared" si="2"/>
        <v>406</v>
      </c>
      <c r="J10" s="5">
        <f t="shared" si="3"/>
        <v>8530.99</v>
      </c>
      <c r="L10" s="6">
        <v>45962</v>
      </c>
      <c r="M10" s="2" t="s">
        <v>1111</v>
      </c>
      <c r="N10" s="13" t="s">
        <v>180</v>
      </c>
      <c r="O10" s="13" t="s">
        <v>14</v>
      </c>
      <c r="P10" s="2">
        <v>1</v>
      </c>
      <c r="Q10" s="3">
        <v>3000</v>
      </c>
      <c r="R10" s="3">
        <f t="shared" si="4"/>
        <v>3000</v>
      </c>
      <c r="S10" s="4">
        <f t="shared" si="5"/>
        <v>3000</v>
      </c>
      <c r="T10" s="4">
        <f t="shared" si="6"/>
        <v>150</v>
      </c>
      <c r="U10" s="5">
        <f t="shared" si="7"/>
        <v>3150</v>
      </c>
      <c r="W10" s="1"/>
      <c r="X10" s="2" t="s">
        <v>1064</v>
      </c>
      <c r="Y10" s="2"/>
      <c r="Z10" s="2"/>
      <c r="AA10" s="2"/>
      <c r="AB10" s="3"/>
      <c r="AC10" s="3">
        <f t="shared" si="8"/>
        <v>0</v>
      </c>
      <c r="AD10" s="4">
        <f t="shared" si="9"/>
        <v>0</v>
      </c>
      <c r="AE10" s="4">
        <f t="shared" si="10"/>
        <v>0</v>
      </c>
      <c r="AF10" s="5">
        <f t="shared" si="11"/>
        <v>0</v>
      </c>
    </row>
    <row r="11" spans="1:32" ht="16.5" x14ac:dyDescent="0.25">
      <c r="A11" s="68" t="s">
        <v>187</v>
      </c>
      <c r="B11" s="2" t="s">
        <v>1009</v>
      </c>
      <c r="C11" s="2"/>
      <c r="D11" s="2"/>
      <c r="E11" s="2"/>
      <c r="F11" s="3"/>
      <c r="G11" s="3">
        <f t="shared" si="0"/>
        <v>0</v>
      </c>
      <c r="H11" s="4">
        <f t="shared" si="1"/>
        <v>0</v>
      </c>
      <c r="I11" s="4">
        <f t="shared" si="2"/>
        <v>0</v>
      </c>
      <c r="J11" s="5">
        <f t="shared" si="3"/>
        <v>0</v>
      </c>
      <c r="L11" s="31">
        <v>45962</v>
      </c>
      <c r="M11" s="34" t="s">
        <v>1152</v>
      </c>
      <c r="N11" s="37" t="s">
        <v>989</v>
      </c>
      <c r="O11" s="13" t="s">
        <v>14</v>
      </c>
      <c r="P11" s="2">
        <v>1</v>
      </c>
      <c r="Q11" s="3">
        <v>10900</v>
      </c>
      <c r="R11" s="16">
        <f t="shared" si="4"/>
        <v>10900</v>
      </c>
      <c r="S11" s="38">
        <f>R11+R12</f>
        <v>14000</v>
      </c>
      <c r="T11" s="38">
        <f t="shared" si="6"/>
        <v>700</v>
      </c>
      <c r="U11" s="41">
        <f t="shared" si="7"/>
        <v>14700</v>
      </c>
      <c r="W11" s="1"/>
      <c r="X11" s="2" t="s">
        <v>1065</v>
      </c>
      <c r="Y11" s="2"/>
      <c r="Z11" s="2"/>
      <c r="AA11" s="2"/>
      <c r="AB11" s="3"/>
      <c r="AC11" s="3">
        <f t="shared" si="8"/>
        <v>0</v>
      </c>
      <c r="AD11" s="4">
        <f t="shared" si="9"/>
        <v>0</v>
      </c>
      <c r="AE11" s="4">
        <f t="shared" si="10"/>
        <v>0</v>
      </c>
      <c r="AF11" s="5">
        <f t="shared" si="11"/>
        <v>0</v>
      </c>
    </row>
    <row r="12" spans="1:32" ht="16.5" x14ac:dyDescent="0.25">
      <c r="A12" s="6">
        <v>45992</v>
      </c>
      <c r="B12" s="2" t="s">
        <v>1010</v>
      </c>
      <c r="C12" s="67" t="s">
        <v>126</v>
      </c>
      <c r="D12" s="13" t="s">
        <v>14</v>
      </c>
      <c r="E12" s="2">
        <v>529</v>
      </c>
      <c r="F12" s="3">
        <f>G12/E12</f>
        <v>2690.7939508506615</v>
      </c>
      <c r="G12" s="3">
        <v>1423430</v>
      </c>
      <c r="H12" s="4">
        <f t="shared" si="1"/>
        <v>1423430</v>
      </c>
      <c r="I12" s="4">
        <f t="shared" si="2"/>
        <v>71172</v>
      </c>
      <c r="J12" s="5">
        <f t="shared" si="3"/>
        <v>1494602</v>
      </c>
      <c r="L12" s="33"/>
      <c r="M12" s="36"/>
      <c r="N12" s="36"/>
      <c r="O12" s="13" t="s">
        <v>16</v>
      </c>
      <c r="P12" s="2">
        <v>1</v>
      </c>
      <c r="Q12" s="3">
        <v>3100</v>
      </c>
      <c r="R12" s="16">
        <f t="shared" si="4"/>
        <v>3100</v>
      </c>
      <c r="S12" s="40"/>
      <c r="T12" s="40"/>
      <c r="U12" s="43"/>
      <c r="W12" s="1"/>
      <c r="X12" s="2" t="s">
        <v>1066</v>
      </c>
      <c r="Y12" s="2"/>
      <c r="Z12" s="2"/>
      <c r="AA12" s="2"/>
      <c r="AB12" s="3"/>
      <c r="AC12" s="3">
        <f t="shared" si="8"/>
        <v>0</v>
      </c>
      <c r="AD12" s="4">
        <f t="shared" si="9"/>
        <v>0</v>
      </c>
      <c r="AE12" s="4">
        <f t="shared" si="10"/>
        <v>0</v>
      </c>
      <c r="AF12" s="5">
        <f t="shared" si="11"/>
        <v>0</v>
      </c>
    </row>
    <row r="13" spans="1:32" ht="16.5" x14ac:dyDescent="0.25">
      <c r="A13" s="68" t="s">
        <v>187</v>
      </c>
      <c r="B13" s="2" t="s">
        <v>1011</v>
      </c>
      <c r="C13" s="2"/>
      <c r="E13" s="2"/>
      <c r="F13" s="3"/>
      <c r="G13" s="3">
        <f t="shared" si="0"/>
        <v>0</v>
      </c>
      <c r="H13" s="4">
        <f t="shared" si="1"/>
        <v>0</v>
      </c>
      <c r="I13" s="4">
        <f t="shared" si="2"/>
        <v>0</v>
      </c>
      <c r="J13" s="5">
        <f t="shared" si="3"/>
        <v>0</v>
      </c>
      <c r="L13" s="6">
        <v>45962</v>
      </c>
      <c r="M13" s="2" t="s">
        <v>1112</v>
      </c>
      <c r="N13" s="13" t="s">
        <v>217</v>
      </c>
      <c r="O13" s="13" t="s">
        <v>14</v>
      </c>
      <c r="P13" s="2">
        <v>36</v>
      </c>
      <c r="Q13" s="3">
        <v>2100</v>
      </c>
      <c r="R13" s="3">
        <f t="shared" si="4"/>
        <v>75600</v>
      </c>
      <c r="S13" s="4">
        <f t="shared" si="5"/>
        <v>75600</v>
      </c>
      <c r="T13" s="4">
        <f t="shared" si="6"/>
        <v>3780</v>
      </c>
      <c r="U13" s="5">
        <f t="shared" si="7"/>
        <v>79380</v>
      </c>
      <c r="W13" s="1"/>
      <c r="X13" s="2" t="s">
        <v>1067</v>
      </c>
      <c r="Y13" s="2"/>
      <c r="Z13" s="2"/>
      <c r="AA13" s="2"/>
      <c r="AB13" s="3"/>
      <c r="AC13" s="3">
        <f t="shared" si="8"/>
        <v>0</v>
      </c>
      <c r="AD13" s="4">
        <f t="shared" si="9"/>
        <v>0</v>
      </c>
      <c r="AE13" s="4">
        <f t="shared" si="10"/>
        <v>0</v>
      </c>
      <c r="AF13" s="5">
        <f t="shared" si="11"/>
        <v>0</v>
      </c>
    </row>
    <row r="14" spans="1:32" ht="16.5" x14ac:dyDescent="0.25">
      <c r="A14" s="6">
        <v>45994</v>
      </c>
      <c r="B14" s="2" t="s">
        <v>1012</v>
      </c>
      <c r="C14" s="67" t="s">
        <v>125</v>
      </c>
      <c r="D14" s="13" t="s">
        <v>14</v>
      </c>
      <c r="E14" s="2">
        <v>11</v>
      </c>
      <c r="F14" s="3">
        <v>3848.45</v>
      </c>
      <c r="G14" s="3">
        <f t="shared" si="0"/>
        <v>42332.95</v>
      </c>
      <c r="H14" s="4">
        <f t="shared" si="1"/>
        <v>42332.95</v>
      </c>
      <c r="I14" s="4">
        <f t="shared" si="2"/>
        <v>2117</v>
      </c>
      <c r="J14" s="5">
        <f t="shared" si="3"/>
        <v>44449.95</v>
      </c>
      <c r="L14" s="6">
        <v>45962</v>
      </c>
      <c r="M14" s="2" t="s">
        <v>1113</v>
      </c>
      <c r="N14" s="13" t="s">
        <v>73</v>
      </c>
      <c r="O14" s="13" t="s">
        <v>14</v>
      </c>
      <c r="P14" s="2">
        <v>137</v>
      </c>
      <c r="Q14" s="3">
        <v>2202.19</v>
      </c>
      <c r="R14" s="3">
        <f t="shared" si="4"/>
        <v>301700.03000000003</v>
      </c>
      <c r="S14" s="4">
        <f t="shared" si="5"/>
        <v>301700.03000000003</v>
      </c>
      <c r="T14" s="4">
        <f t="shared" si="6"/>
        <v>15085</v>
      </c>
      <c r="U14" s="5">
        <f t="shared" si="7"/>
        <v>316785.03000000003</v>
      </c>
      <c r="W14" s="1"/>
      <c r="X14" s="2" t="s">
        <v>1068</v>
      </c>
      <c r="Y14" s="2"/>
      <c r="Z14" s="2"/>
      <c r="AA14" s="2"/>
      <c r="AB14" s="3"/>
      <c r="AC14" s="3">
        <f t="shared" si="8"/>
        <v>0</v>
      </c>
      <c r="AD14" s="4">
        <f t="shared" si="9"/>
        <v>0</v>
      </c>
      <c r="AE14" s="4">
        <f t="shared" si="10"/>
        <v>0</v>
      </c>
      <c r="AF14" s="5">
        <f t="shared" si="11"/>
        <v>0</v>
      </c>
    </row>
    <row r="15" spans="1:32" x14ac:dyDescent="0.25">
      <c r="A15" s="31">
        <v>46003</v>
      </c>
      <c r="B15" s="34" t="s">
        <v>1162</v>
      </c>
      <c r="C15" s="37" t="s">
        <v>199</v>
      </c>
      <c r="D15" s="13" t="s">
        <v>14</v>
      </c>
      <c r="E15" s="2">
        <v>4</v>
      </c>
      <c r="F15" s="3">
        <v>4500</v>
      </c>
      <c r="G15" s="16">
        <f t="shared" si="0"/>
        <v>18000</v>
      </c>
      <c r="H15" s="38">
        <f>G15+G16</f>
        <v>26700</v>
      </c>
      <c r="I15" s="38">
        <f t="shared" si="2"/>
        <v>1335</v>
      </c>
      <c r="J15" s="41">
        <f t="shared" si="3"/>
        <v>28035</v>
      </c>
      <c r="L15" s="6">
        <v>45964</v>
      </c>
      <c r="M15" s="2" t="s">
        <v>1114</v>
      </c>
      <c r="N15" s="13" t="s">
        <v>218</v>
      </c>
      <c r="O15" s="13" t="s">
        <v>14</v>
      </c>
      <c r="P15" s="2">
        <v>1</v>
      </c>
      <c r="Q15" s="3">
        <v>4128</v>
      </c>
      <c r="R15" s="3">
        <f t="shared" si="4"/>
        <v>4128</v>
      </c>
      <c r="S15" s="4">
        <f t="shared" si="5"/>
        <v>4128</v>
      </c>
      <c r="T15" s="4">
        <f t="shared" si="6"/>
        <v>206</v>
      </c>
      <c r="U15" s="5">
        <f t="shared" si="7"/>
        <v>4334</v>
      </c>
      <c r="W15" s="1"/>
      <c r="X15" s="2" t="s">
        <v>1069</v>
      </c>
      <c r="Y15" s="2"/>
      <c r="Z15" s="2"/>
      <c r="AA15" s="2"/>
      <c r="AB15" s="3"/>
      <c r="AC15" s="3">
        <f t="shared" si="8"/>
        <v>0</v>
      </c>
      <c r="AD15" s="4">
        <f t="shared" si="9"/>
        <v>0</v>
      </c>
      <c r="AE15" s="4">
        <f t="shared" si="10"/>
        <v>0</v>
      </c>
      <c r="AF15" s="5">
        <f t="shared" si="11"/>
        <v>0</v>
      </c>
    </row>
    <row r="16" spans="1:32" x14ac:dyDescent="0.25">
      <c r="A16" s="33"/>
      <c r="B16" s="36"/>
      <c r="C16" s="36"/>
      <c r="D16" s="13" t="s">
        <v>16</v>
      </c>
      <c r="E16" s="2">
        <v>4</v>
      </c>
      <c r="F16" s="3">
        <v>2175</v>
      </c>
      <c r="G16" s="16">
        <f t="shared" si="0"/>
        <v>8700</v>
      </c>
      <c r="H16" s="40"/>
      <c r="I16" s="40"/>
      <c r="J16" s="43"/>
      <c r="L16" s="31">
        <v>45966</v>
      </c>
      <c r="M16" s="34" t="s">
        <v>1153</v>
      </c>
      <c r="N16" s="37" t="s">
        <v>181</v>
      </c>
      <c r="O16" s="13" t="s">
        <v>14</v>
      </c>
      <c r="P16" s="2">
        <v>1</v>
      </c>
      <c r="Q16" s="3">
        <v>2952</v>
      </c>
      <c r="R16" s="16">
        <f t="shared" si="4"/>
        <v>2952</v>
      </c>
      <c r="S16" s="38">
        <f>R16+R17</f>
        <v>5752</v>
      </c>
      <c r="T16" s="38">
        <f t="shared" si="6"/>
        <v>288</v>
      </c>
      <c r="U16" s="41">
        <f t="shared" si="7"/>
        <v>6040</v>
      </c>
      <c r="W16" s="1"/>
      <c r="X16" s="2" t="s">
        <v>1070</v>
      </c>
      <c r="Y16" s="2"/>
      <c r="Z16" s="2"/>
      <c r="AA16" s="2"/>
      <c r="AB16" s="3"/>
      <c r="AC16" s="3">
        <f t="shared" si="8"/>
        <v>0</v>
      </c>
      <c r="AD16" s="4">
        <f t="shared" si="9"/>
        <v>0</v>
      </c>
      <c r="AE16" s="4">
        <f t="shared" si="10"/>
        <v>0</v>
      </c>
      <c r="AF16" s="5">
        <f t="shared" si="11"/>
        <v>0</v>
      </c>
    </row>
    <row r="17" spans="1:32" x14ac:dyDescent="0.25">
      <c r="A17" s="1"/>
      <c r="B17" s="2" t="s">
        <v>1013</v>
      </c>
      <c r="C17" s="2"/>
      <c r="D17" s="2"/>
      <c r="E17" s="2"/>
      <c r="F17" s="3"/>
      <c r="G17" s="3">
        <f t="shared" si="0"/>
        <v>0</v>
      </c>
      <c r="H17" s="4">
        <f t="shared" si="1"/>
        <v>0</v>
      </c>
      <c r="I17" s="4">
        <f t="shared" si="2"/>
        <v>0</v>
      </c>
      <c r="J17" s="5">
        <f t="shared" si="3"/>
        <v>0</v>
      </c>
      <c r="L17" s="33"/>
      <c r="M17" s="36"/>
      <c r="N17" s="36"/>
      <c r="O17" s="13" t="s">
        <v>16</v>
      </c>
      <c r="P17" s="2">
        <v>1</v>
      </c>
      <c r="Q17" s="3">
        <v>2800</v>
      </c>
      <c r="R17" s="16">
        <f t="shared" si="4"/>
        <v>2800</v>
      </c>
      <c r="S17" s="40"/>
      <c r="T17" s="40"/>
      <c r="U17" s="43"/>
      <c r="W17" s="1"/>
      <c r="X17" s="2" t="s">
        <v>1071</v>
      </c>
      <c r="Y17" s="2"/>
      <c r="Z17" s="2"/>
      <c r="AA17" s="2"/>
      <c r="AB17" s="3"/>
      <c r="AC17" s="3">
        <f t="shared" si="8"/>
        <v>0</v>
      </c>
      <c r="AD17" s="4">
        <f t="shared" si="9"/>
        <v>0</v>
      </c>
      <c r="AE17" s="4">
        <f t="shared" si="10"/>
        <v>0</v>
      </c>
      <c r="AF17" s="5">
        <f t="shared" si="11"/>
        <v>0</v>
      </c>
    </row>
    <row r="18" spans="1:32" x14ac:dyDescent="0.25">
      <c r="A18" s="1"/>
      <c r="B18" s="2" t="s">
        <v>1014</v>
      </c>
      <c r="C18" s="2"/>
      <c r="D18" s="2"/>
      <c r="E18" s="2"/>
      <c r="F18" s="3"/>
      <c r="G18" s="3">
        <f t="shared" si="0"/>
        <v>0</v>
      </c>
      <c r="H18" s="4">
        <f t="shared" si="1"/>
        <v>0</v>
      </c>
      <c r="I18" s="4">
        <f t="shared" si="2"/>
        <v>0</v>
      </c>
      <c r="J18" s="5">
        <f t="shared" si="3"/>
        <v>0</v>
      </c>
      <c r="L18" s="6">
        <v>45966</v>
      </c>
      <c r="M18" s="2" t="s">
        <v>1115</v>
      </c>
      <c r="N18" s="13" t="s">
        <v>215</v>
      </c>
      <c r="O18" s="13" t="s">
        <v>14</v>
      </c>
      <c r="P18" s="2">
        <v>2</v>
      </c>
      <c r="Q18" s="3">
        <v>2914</v>
      </c>
      <c r="R18" s="3">
        <f t="shared" si="4"/>
        <v>5828</v>
      </c>
      <c r="S18" s="4">
        <f t="shared" si="5"/>
        <v>5828</v>
      </c>
      <c r="T18" s="4">
        <f t="shared" si="6"/>
        <v>291</v>
      </c>
      <c r="U18" s="5">
        <f t="shared" si="7"/>
        <v>6119</v>
      </c>
      <c r="W18" s="1"/>
      <c r="X18" s="2" t="s">
        <v>1072</v>
      </c>
      <c r="Y18" s="2"/>
      <c r="Z18" s="2"/>
      <c r="AA18" s="2"/>
      <c r="AB18" s="3"/>
      <c r="AC18" s="3">
        <f t="shared" si="8"/>
        <v>0</v>
      </c>
      <c r="AD18" s="4">
        <f t="shared" si="9"/>
        <v>0</v>
      </c>
      <c r="AE18" s="4">
        <f t="shared" si="10"/>
        <v>0</v>
      </c>
      <c r="AF18" s="5">
        <f t="shared" si="11"/>
        <v>0</v>
      </c>
    </row>
    <row r="19" spans="1:32" x14ac:dyDescent="0.25">
      <c r="A19" s="1"/>
      <c r="B19" s="2" t="s">
        <v>1015</v>
      </c>
      <c r="C19" s="2"/>
      <c r="D19" s="2"/>
      <c r="E19" s="2"/>
      <c r="F19" s="3"/>
      <c r="G19" s="3">
        <f t="shared" si="0"/>
        <v>0</v>
      </c>
      <c r="H19" s="4">
        <f t="shared" si="1"/>
        <v>0</v>
      </c>
      <c r="I19" s="4">
        <f t="shared" si="2"/>
        <v>0</v>
      </c>
      <c r="J19" s="5">
        <f t="shared" si="3"/>
        <v>0</v>
      </c>
      <c r="L19" s="6">
        <v>45966</v>
      </c>
      <c r="M19" s="2" t="s">
        <v>1116</v>
      </c>
      <c r="N19" s="13" t="s">
        <v>74</v>
      </c>
      <c r="O19" s="13" t="s">
        <v>14</v>
      </c>
      <c r="P19" s="2">
        <v>42</v>
      </c>
      <c r="Q19" s="3">
        <v>2449.0500000000002</v>
      </c>
      <c r="R19" s="3">
        <f t="shared" si="4"/>
        <v>102860.1</v>
      </c>
      <c r="S19" s="4">
        <f t="shared" si="5"/>
        <v>102860.1</v>
      </c>
      <c r="T19" s="4">
        <f t="shared" si="6"/>
        <v>5143</v>
      </c>
      <c r="U19" s="5">
        <f t="shared" si="7"/>
        <v>108003.1</v>
      </c>
      <c r="W19" s="1"/>
      <c r="X19" s="2" t="s">
        <v>1073</v>
      </c>
      <c r="Y19" s="2"/>
      <c r="Z19" s="2"/>
      <c r="AA19" s="2"/>
      <c r="AB19" s="3"/>
      <c r="AC19" s="3">
        <f t="shared" si="8"/>
        <v>0</v>
      </c>
      <c r="AD19" s="4">
        <f t="shared" si="9"/>
        <v>0</v>
      </c>
      <c r="AE19" s="4">
        <f t="shared" si="10"/>
        <v>0</v>
      </c>
      <c r="AF19" s="5">
        <f t="shared" si="11"/>
        <v>0</v>
      </c>
    </row>
    <row r="20" spans="1:32" x14ac:dyDescent="0.25">
      <c r="A20" s="1"/>
      <c r="B20" s="2" t="s">
        <v>1016</v>
      </c>
      <c r="C20" s="2"/>
      <c r="D20" s="2"/>
      <c r="E20" s="2"/>
      <c r="F20" s="3"/>
      <c r="G20" s="3">
        <f t="shared" si="0"/>
        <v>0</v>
      </c>
      <c r="H20" s="4">
        <f t="shared" si="1"/>
        <v>0</v>
      </c>
      <c r="I20" s="4">
        <f t="shared" si="2"/>
        <v>0</v>
      </c>
      <c r="J20" s="5">
        <f t="shared" si="3"/>
        <v>0</v>
      </c>
      <c r="L20" s="6">
        <v>45967</v>
      </c>
      <c r="M20" s="2" t="s">
        <v>1117</v>
      </c>
      <c r="N20" s="13" t="s">
        <v>177</v>
      </c>
      <c r="O20" s="13" t="s">
        <v>14</v>
      </c>
      <c r="P20" s="2">
        <v>2</v>
      </c>
      <c r="Q20" s="3">
        <v>4952.5</v>
      </c>
      <c r="R20" s="3">
        <f t="shared" si="4"/>
        <v>9905</v>
      </c>
      <c r="S20" s="4">
        <f t="shared" si="5"/>
        <v>9905</v>
      </c>
      <c r="T20" s="4">
        <f t="shared" si="6"/>
        <v>495</v>
      </c>
      <c r="U20" s="5">
        <f t="shared" si="7"/>
        <v>10400</v>
      </c>
      <c r="W20" s="1"/>
      <c r="X20" s="2" t="s">
        <v>1074</v>
      </c>
      <c r="Y20" s="2"/>
      <c r="Z20" s="2"/>
      <c r="AA20" s="2"/>
      <c r="AB20" s="3"/>
      <c r="AC20" s="3">
        <f t="shared" si="8"/>
        <v>0</v>
      </c>
      <c r="AD20" s="4">
        <f t="shared" si="9"/>
        <v>0</v>
      </c>
      <c r="AE20" s="4">
        <f t="shared" si="10"/>
        <v>0</v>
      </c>
      <c r="AF20" s="5">
        <f t="shared" si="11"/>
        <v>0</v>
      </c>
    </row>
    <row r="21" spans="1:32" x14ac:dyDescent="0.25">
      <c r="A21" s="1"/>
      <c r="B21" s="2" t="s">
        <v>1017</v>
      </c>
      <c r="C21" s="2"/>
      <c r="D21" s="2"/>
      <c r="E21" s="2"/>
      <c r="F21" s="3"/>
      <c r="G21" s="3">
        <f t="shared" si="0"/>
        <v>0</v>
      </c>
      <c r="H21" s="4">
        <f t="shared" si="1"/>
        <v>0</v>
      </c>
      <c r="I21" s="4">
        <f t="shared" si="2"/>
        <v>0</v>
      </c>
      <c r="J21" s="5">
        <f t="shared" si="3"/>
        <v>0</v>
      </c>
      <c r="L21" s="6">
        <v>45973</v>
      </c>
      <c r="M21" s="2" t="s">
        <v>1118</v>
      </c>
      <c r="N21" s="13" t="s">
        <v>178</v>
      </c>
      <c r="O21" s="13" t="s">
        <v>14</v>
      </c>
      <c r="P21" s="2">
        <v>51</v>
      </c>
      <c r="Q21" s="3">
        <v>3214.71</v>
      </c>
      <c r="R21" s="3">
        <f t="shared" si="4"/>
        <v>163950.21</v>
      </c>
      <c r="S21" s="4">
        <f t="shared" si="5"/>
        <v>163950.21</v>
      </c>
      <c r="T21" s="4">
        <f t="shared" si="6"/>
        <v>8198</v>
      </c>
      <c r="U21" s="5">
        <f t="shared" si="7"/>
        <v>172148.21</v>
      </c>
      <c r="W21" s="1"/>
      <c r="X21" s="2" t="s">
        <v>1075</v>
      </c>
      <c r="Y21" s="2"/>
      <c r="Z21" s="2"/>
      <c r="AA21" s="2"/>
      <c r="AB21" s="3"/>
      <c r="AC21" s="3">
        <f t="shared" si="8"/>
        <v>0</v>
      </c>
      <c r="AD21" s="4">
        <f t="shared" si="9"/>
        <v>0</v>
      </c>
      <c r="AE21" s="4">
        <f t="shared" si="10"/>
        <v>0</v>
      </c>
      <c r="AF21" s="5">
        <f t="shared" si="11"/>
        <v>0</v>
      </c>
    </row>
    <row r="22" spans="1:32" x14ac:dyDescent="0.25">
      <c r="A22" s="1"/>
      <c r="B22" s="2" t="s">
        <v>1018</v>
      </c>
      <c r="C22" s="2"/>
      <c r="D22" s="2"/>
      <c r="E22" s="2"/>
      <c r="F22" s="3"/>
      <c r="G22" s="3">
        <f t="shared" si="0"/>
        <v>0</v>
      </c>
      <c r="H22" s="4">
        <f t="shared" si="1"/>
        <v>0</v>
      </c>
      <c r="I22" s="4">
        <f t="shared" si="2"/>
        <v>0</v>
      </c>
      <c r="J22" s="5">
        <f t="shared" si="3"/>
        <v>0</v>
      </c>
      <c r="L22" s="6">
        <v>45973</v>
      </c>
      <c r="M22" s="2" t="s">
        <v>1119</v>
      </c>
      <c r="N22" s="13" t="s">
        <v>182</v>
      </c>
      <c r="O22" s="13" t="s">
        <v>15</v>
      </c>
      <c r="P22" s="2">
        <v>1</v>
      </c>
      <c r="Q22" s="3">
        <v>300</v>
      </c>
      <c r="R22" s="3">
        <f t="shared" si="4"/>
        <v>300</v>
      </c>
      <c r="S22" s="4">
        <f t="shared" si="5"/>
        <v>300</v>
      </c>
      <c r="T22" s="4">
        <f t="shared" si="6"/>
        <v>15</v>
      </c>
      <c r="U22" s="5">
        <f t="shared" si="7"/>
        <v>315</v>
      </c>
      <c r="W22" s="1"/>
      <c r="X22" s="2" t="s">
        <v>1076</v>
      </c>
      <c r="Y22" s="2"/>
      <c r="Z22" s="2"/>
      <c r="AA22" s="2"/>
      <c r="AB22" s="3"/>
      <c r="AC22" s="3">
        <f t="shared" si="8"/>
        <v>0</v>
      </c>
      <c r="AD22" s="4">
        <f t="shared" si="9"/>
        <v>0</v>
      </c>
      <c r="AE22" s="4">
        <f t="shared" si="10"/>
        <v>0</v>
      </c>
      <c r="AF22" s="5">
        <f t="shared" si="11"/>
        <v>0</v>
      </c>
    </row>
    <row r="23" spans="1:32" x14ac:dyDescent="0.25">
      <c r="A23" s="1"/>
      <c r="B23" s="2" t="s">
        <v>1019</v>
      </c>
      <c r="C23" s="2"/>
      <c r="D23" s="2"/>
      <c r="E23" s="2"/>
      <c r="F23" s="3"/>
      <c r="G23" s="3">
        <f t="shared" si="0"/>
        <v>0</v>
      </c>
      <c r="H23" s="4">
        <f t="shared" si="1"/>
        <v>0</v>
      </c>
      <c r="I23" s="4">
        <f t="shared" si="2"/>
        <v>0</v>
      </c>
      <c r="J23" s="5">
        <f t="shared" si="3"/>
        <v>0</v>
      </c>
      <c r="L23" s="6">
        <v>45980</v>
      </c>
      <c r="M23" s="2" t="s">
        <v>1120</v>
      </c>
      <c r="N23" s="13" t="s">
        <v>400</v>
      </c>
      <c r="O23" s="13" t="s">
        <v>14</v>
      </c>
      <c r="P23" s="2">
        <v>1</v>
      </c>
      <c r="Q23" s="3">
        <v>7500</v>
      </c>
      <c r="R23" s="3">
        <f t="shared" si="4"/>
        <v>7500</v>
      </c>
      <c r="S23" s="4">
        <f t="shared" si="5"/>
        <v>7500</v>
      </c>
      <c r="T23" s="4">
        <f t="shared" si="6"/>
        <v>375</v>
      </c>
      <c r="U23" s="5">
        <f t="shared" si="7"/>
        <v>7875</v>
      </c>
      <c r="W23" s="1"/>
      <c r="X23" s="2" t="s">
        <v>1077</v>
      </c>
      <c r="Y23" s="2"/>
      <c r="Z23" s="2"/>
      <c r="AA23" s="2"/>
      <c r="AB23" s="3"/>
      <c r="AC23" s="3">
        <f t="shared" si="8"/>
        <v>0</v>
      </c>
      <c r="AD23" s="4">
        <f t="shared" si="9"/>
        <v>0</v>
      </c>
      <c r="AE23" s="4">
        <f t="shared" si="10"/>
        <v>0</v>
      </c>
      <c r="AF23" s="5">
        <f t="shared" si="11"/>
        <v>0</v>
      </c>
    </row>
    <row r="24" spans="1:32" x14ac:dyDescent="0.25">
      <c r="A24" s="1"/>
      <c r="B24" s="2" t="s">
        <v>1020</v>
      </c>
      <c r="C24" s="2"/>
      <c r="D24" s="2"/>
      <c r="E24" s="2"/>
      <c r="F24" s="3"/>
      <c r="G24" s="3">
        <f t="shared" si="0"/>
        <v>0</v>
      </c>
      <c r="H24" s="4">
        <f t="shared" si="1"/>
        <v>0</v>
      </c>
      <c r="I24" s="4">
        <f t="shared" si="2"/>
        <v>0</v>
      </c>
      <c r="J24" s="5">
        <f t="shared" si="3"/>
        <v>0</v>
      </c>
      <c r="L24" s="6">
        <v>45982</v>
      </c>
      <c r="M24" s="2" t="s">
        <v>1121</v>
      </c>
      <c r="N24" s="13" t="s">
        <v>75</v>
      </c>
      <c r="O24" s="13" t="s">
        <v>14</v>
      </c>
      <c r="P24" s="2">
        <v>25</v>
      </c>
      <c r="Q24" s="3">
        <v>2537.6</v>
      </c>
      <c r="R24" s="3">
        <f t="shared" si="4"/>
        <v>63440</v>
      </c>
      <c r="S24" s="4">
        <f t="shared" si="5"/>
        <v>63440</v>
      </c>
      <c r="T24" s="4">
        <f t="shared" si="6"/>
        <v>3172</v>
      </c>
      <c r="U24" s="5">
        <f t="shared" si="7"/>
        <v>66612</v>
      </c>
      <c r="W24" s="1"/>
      <c r="X24" s="2" t="s">
        <v>1078</v>
      </c>
      <c r="Y24" s="2"/>
      <c r="Z24" s="2"/>
      <c r="AA24" s="2"/>
      <c r="AB24" s="3"/>
      <c r="AC24" s="3">
        <f t="shared" si="8"/>
        <v>0</v>
      </c>
      <c r="AD24" s="4">
        <f t="shared" si="9"/>
        <v>0</v>
      </c>
      <c r="AE24" s="4">
        <f t="shared" si="10"/>
        <v>0</v>
      </c>
      <c r="AF24" s="5">
        <f t="shared" si="11"/>
        <v>0</v>
      </c>
    </row>
    <row r="25" spans="1:32" x14ac:dyDescent="0.25">
      <c r="A25" s="1"/>
      <c r="B25" s="2" t="s">
        <v>1021</v>
      </c>
      <c r="C25" s="2"/>
      <c r="D25" s="2"/>
      <c r="E25" s="2"/>
      <c r="F25" s="3"/>
      <c r="G25" s="3">
        <f t="shared" si="0"/>
        <v>0</v>
      </c>
      <c r="H25" s="4">
        <f t="shared" si="1"/>
        <v>0</v>
      </c>
      <c r="I25" s="4">
        <f t="shared" si="2"/>
        <v>0</v>
      </c>
      <c r="J25" s="5">
        <f t="shared" si="3"/>
        <v>0</v>
      </c>
      <c r="L25" s="17" t="s">
        <v>187</v>
      </c>
      <c r="M25" s="2" t="s">
        <v>1122</v>
      </c>
      <c r="N25" s="2"/>
      <c r="O25" s="2"/>
      <c r="P25" s="2"/>
      <c r="Q25" s="3"/>
      <c r="R25" s="3">
        <f t="shared" si="4"/>
        <v>0</v>
      </c>
      <c r="S25" s="4">
        <f t="shared" si="5"/>
        <v>0</v>
      </c>
      <c r="T25" s="4">
        <f t="shared" si="6"/>
        <v>0</v>
      </c>
      <c r="U25" s="5">
        <f t="shared" si="7"/>
        <v>0</v>
      </c>
      <c r="W25" s="1"/>
      <c r="X25" s="2" t="s">
        <v>1079</v>
      </c>
      <c r="Y25" s="2"/>
      <c r="Z25" s="2"/>
      <c r="AA25" s="2"/>
      <c r="AB25" s="3"/>
      <c r="AC25" s="3">
        <f t="shared" si="8"/>
        <v>0</v>
      </c>
      <c r="AD25" s="4">
        <f t="shared" si="9"/>
        <v>0</v>
      </c>
      <c r="AE25" s="4">
        <f t="shared" si="10"/>
        <v>0</v>
      </c>
      <c r="AF25" s="5">
        <f t="shared" si="11"/>
        <v>0</v>
      </c>
    </row>
    <row r="26" spans="1:32" x14ac:dyDescent="0.25">
      <c r="A26" s="1"/>
      <c r="B26" s="2" t="s">
        <v>1022</v>
      </c>
      <c r="C26" s="2"/>
      <c r="D26" s="2"/>
      <c r="E26" s="2"/>
      <c r="F26" s="3"/>
      <c r="G26" s="3">
        <f t="shared" si="0"/>
        <v>0</v>
      </c>
      <c r="H26" s="4">
        <f t="shared" si="1"/>
        <v>0</v>
      </c>
      <c r="I26" s="4">
        <f t="shared" si="2"/>
        <v>0</v>
      </c>
      <c r="J26" s="5">
        <f t="shared" si="3"/>
        <v>0</v>
      </c>
      <c r="L26" s="17" t="s">
        <v>187</v>
      </c>
      <c r="M26" s="2" t="s">
        <v>1123</v>
      </c>
      <c r="N26" s="2"/>
      <c r="O26" s="2"/>
      <c r="P26" s="2"/>
      <c r="Q26" s="3"/>
      <c r="R26" s="3">
        <f t="shared" si="4"/>
        <v>0</v>
      </c>
      <c r="S26" s="4">
        <f t="shared" si="5"/>
        <v>0</v>
      </c>
      <c r="T26" s="4">
        <f t="shared" si="6"/>
        <v>0</v>
      </c>
      <c r="U26" s="5">
        <f t="shared" si="7"/>
        <v>0</v>
      </c>
      <c r="W26" s="1"/>
      <c r="X26" s="2" t="s">
        <v>1080</v>
      </c>
      <c r="Y26" s="2"/>
      <c r="Z26" s="2"/>
      <c r="AA26" s="2"/>
      <c r="AB26" s="3"/>
      <c r="AC26" s="3">
        <f t="shared" si="8"/>
        <v>0</v>
      </c>
      <c r="AD26" s="4">
        <f t="shared" si="9"/>
        <v>0</v>
      </c>
      <c r="AE26" s="4">
        <f t="shared" si="10"/>
        <v>0</v>
      </c>
      <c r="AF26" s="5">
        <f t="shared" si="11"/>
        <v>0</v>
      </c>
    </row>
    <row r="27" spans="1:32" x14ac:dyDescent="0.25">
      <c r="A27" s="1"/>
      <c r="B27" s="2" t="s">
        <v>1023</v>
      </c>
      <c r="C27" s="2"/>
      <c r="D27" s="2"/>
      <c r="E27" s="2"/>
      <c r="F27" s="3"/>
      <c r="G27" s="3">
        <f t="shared" si="0"/>
        <v>0</v>
      </c>
      <c r="H27" s="4">
        <f t="shared" si="1"/>
        <v>0</v>
      </c>
      <c r="I27" s="4">
        <f t="shared" si="2"/>
        <v>0</v>
      </c>
      <c r="J27" s="5">
        <f t="shared" si="3"/>
        <v>0</v>
      </c>
      <c r="L27" s="6">
        <v>45982</v>
      </c>
      <c r="M27" s="2" t="s">
        <v>1124</v>
      </c>
      <c r="N27" s="13" t="s">
        <v>213</v>
      </c>
      <c r="O27" s="13" t="s">
        <v>15</v>
      </c>
      <c r="P27" s="2">
        <v>150</v>
      </c>
      <c r="Q27" s="3">
        <v>95</v>
      </c>
      <c r="R27" s="3">
        <f t="shared" si="4"/>
        <v>14250</v>
      </c>
      <c r="S27" s="4">
        <f t="shared" si="5"/>
        <v>14250</v>
      </c>
      <c r="T27" s="4">
        <f t="shared" si="6"/>
        <v>713</v>
      </c>
      <c r="U27" s="5">
        <f t="shared" si="7"/>
        <v>14963</v>
      </c>
      <c r="W27" s="1"/>
      <c r="X27" s="2" t="s">
        <v>1081</v>
      </c>
      <c r="Y27" s="2"/>
      <c r="Z27" s="2"/>
      <c r="AA27" s="2"/>
      <c r="AB27" s="3"/>
      <c r="AC27" s="3">
        <f t="shared" si="8"/>
        <v>0</v>
      </c>
      <c r="AD27" s="4">
        <f t="shared" si="9"/>
        <v>0</v>
      </c>
      <c r="AE27" s="4">
        <f t="shared" si="10"/>
        <v>0</v>
      </c>
      <c r="AF27" s="5">
        <f t="shared" si="11"/>
        <v>0</v>
      </c>
    </row>
    <row r="28" spans="1:32" x14ac:dyDescent="0.25">
      <c r="A28" s="1"/>
      <c r="B28" s="2" t="s">
        <v>1024</v>
      </c>
      <c r="C28" s="2"/>
      <c r="D28" s="2"/>
      <c r="E28" s="2"/>
      <c r="F28" s="3"/>
      <c r="G28" s="3">
        <f t="shared" si="0"/>
        <v>0</v>
      </c>
      <c r="H28" s="4">
        <f t="shared" si="1"/>
        <v>0</v>
      </c>
      <c r="I28" s="4">
        <f t="shared" si="2"/>
        <v>0</v>
      </c>
      <c r="J28" s="5">
        <f t="shared" si="3"/>
        <v>0</v>
      </c>
      <c r="L28" s="6">
        <v>45982</v>
      </c>
      <c r="M28" s="2" t="s">
        <v>1125</v>
      </c>
      <c r="N28" s="13" t="s">
        <v>188</v>
      </c>
      <c r="O28" s="13" t="s">
        <v>15</v>
      </c>
      <c r="P28" s="2">
        <v>7</v>
      </c>
      <c r="Q28" s="3">
        <f>R28/P28</f>
        <v>235.71428571428572</v>
      </c>
      <c r="R28" s="3">
        <v>1650</v>
      </c>
      <c r="S28" s="4">
        <f t="shared" si="5"/>
        <v>1650</v>
      </c>
      <c r="T28" s="4">
        <f t="shared" si="6"/>
        <v>83</v>
      </c>
      <c r="U28" s="5">
        <f t="shared" si="7"/>
        <v>1733</v>
      </c>
      <c r="W28" s="1"/>
      <c r="X28" s="2" t="s">
        <v>1082</v>
      </c>
      <c r="Y28" s="2"/>
      <c r="Z28" s="2"/>
      <c r="AA28" s="2"/>
      <c r="AB28" s="3"/>
      <c r="AC28" s="3">
        <f t="shared" si="8"/>
        <v>0</v>
      </c>
      <c r="AD28" s="4">
        <f t="shared" si="9"/>
        <v>0</v>
      </c>
      <c r="AE28" s="4">
        <f t="shared" si="10"/>
        <v>0</v>
      </c>
      <c r="AF28" s="5">
        <f t="shared" si="11"/>
        <v>0</v>
      </c>
    </row>
    <row r="29" spans="1:32" x14ac:dyDescent="0.25">
      <c r="A29" s="1"/>
      <c r="B29" s="2" t="s">
        <v>1025</v>
      </c>
      <c r="C29" s="2"/>
      <c r="D29" s="2"/>
      <c r="E29" s="2"/>
      <c r="F29" s="3"/>
      <c r="G29" s="3">
        <f t="shared" si="0"/>
        <v>0</v>
      </c>
      <c r="H29" s="4">
        <f t="shared" si="1"/>
        <v>0</v>
      </c>
      <c r="I29" s="4">
        <f t="shared" si="2"/>
        <v>0</v>
      </c>
      <c r="J29" s="5">
        <f t="shared" si="3"/>
        <v>0</v>
      </c>
      <c r="L29" s="31">
        <v>45992</v>
      </c>
      <c r="M29" s="34" t="s">
        <v>1154</v>
      </c>
      <c r="N29" s="37" t="s">
        <v>173</v>
      </c>
      <c r="O29" s="13" t="s">
        <v>14</v>
      </c>
      <c r="P29" s="2">
        <v>137</v>
      </c>
      <c r="Q29" s="3">
        <v>2650.03</v>
      </c>
      <c r="R29" s="16">
        <f t="shared" ref="R29:R32" si="12">P29*Q29</f>
        <v>363054.11000000004</v>
      </c>
      <c r="S29" s="38">
        <f>R29+R30</f>
        <v>763004.27</v>
      </c>
      <c r="T29" s="38">
        <f t="shared" si="6"/>
        <v>38150</v>
      </c>
      <c r="U29" s="41">
        <f t="shared" si="7"/>
        <v>801154.27</v>
      </c>
      <c r="W29" s="1"/>
      <c r="X29" s="2" t="s">
        <v>1083</v>
      </c>
      <c r="Y29" s="2"/>
      <c r="Z29" s="2"/>
      <c r="AA29" s="2"/>
      <c r="AB29" s="3"/>
      <c r="AC29" s="3">
        <f t="shared" si="8"/>
        <v>0</v>
      </c>
      <c r="AD29" s="4">
        <f t="shared" si="9"/>
        <v>0</v>
      </c>
      <c r="AE29" s="4">
        <f t="shared" si="10"/>
        <v>0</v>
      </c>
      <c r="AF29" s="5">
        <f t="shared" si="11"/>
        <v>0</v>
      </c>
    </row>
    <row r="30" spans="1:32" x14ac:dyDescent="0.25">
      <c r="A30" s="1"/>
      <c r="B30" s="2" t="s">
        <v>1026</v>
      </c>
      <c r="C30" s="2"/>
      <c r="D30" s="2"/>
      <c r="E30" s="2"/>
      <c r="F30" s="3"/>
      <c r="G30" s="3">
        <f t="shared" si="0"/>
        <v>0</v>
      </c>
      <c r="H30" s="4">
        <f t="shared" si="1"/>
        <v>0</v>
      </c>
      <c r="I30" s="4">
        <f t="shared" si="2"/>
        <v>0</v>
      </c>
      <c r="J30" s="5">
        <f t="shared" si="3"/>
        <v>0</v>
      </c>
      <c r="L30" s="33"/>
      <c r="M30" s="36"/>
      <c r="N30" s="36"/>
      <c r="O30" s="13" t="s">
        <v>16</v>
      </c>
      <c r="P30" s="2">
        <v>136</v>
      </c>
      <c r="Q30" s="3">
        <v>2940.81</v>
      </c>
      <c r="R30" s="16">
        <f t="shared" si="12"/>
        <v>399950.16</v>
      </c>
      <c r="S30" s="40"/>
      <c r="T30" s="40"/>
      <c r="U30" s="43"/>
      <c r="W30" s="1"/>
      <c r="X30" s="2" t="s">
        <v>1084</v>
      </c>
      <c r="Y30" s="2"/>
      <c r="Z30" s="2"/>
      <c r="AA30" s="2"/>
      <c r="AB30" s="3"/>
      <c r="AC30" s="3">
        <f t="shared" si="8"/>
        <v>0</v>
      </c>
      <c r="AD30" s="4">
        <f t="shared" si="9"/>
        <v>0</v>
      </c>
      <c r="AE30" s="4">
        <f t="shared" si="10"/>
        <v>0</v>
      </c>
      <c r="AF30" s="5">
        <f t="shared" si="11"/>
        <v>0</v>
      </c>
    </row>
    <row r="31" spans="1:32" x14ac:dyDescent="0.25">
      <c r="A31" s="1"/>
      <c r="B31" s="2" t="s">
        <v>1027</v>
      </c>
      <c r="C31" s="2"/>
      <c r="D31" s="2"/>
      <c r="E31" s="2"/>
      <c r="F31" s="3"/>
      <c r="G31" s="3">
        <f t="shared" si="0"/>
        <v>0</v>
      </c>
      <c r="H31" s="4">
        <f t="shared" si="1"/>
        <v>0</v>
      </c>
      <c r="I31" s="4">
        <f t="shared" si="2"/>
        <v>0</v>
      </c>
      <c r="J31" s="5">
        <f t="shared" si="3"/>
        <v>0</v>
      </c>
      <c r="L31" s="31">
        <v>45992</v>
      </c>
      <c r="M31" s="34" t="s">
        <v>1155</v>
      </c>
      <c r="N31" s="37" t="s">
        <v>373</v>
      </c>
      <c r="O31" s="13" t="s">
        <v>14</v>
      </c>
      <c r="P31" s="2">
        <v>6</v>
      </c>
      <c r="Q31" s="3">
        <v>3556</v>
      </c>
      <c r="R31" s="16">
        <f t="shared" si="12"/>
        <v>21336</v>
      </c>
      <c r="S31" s="38">
        <f>R31+R32</f>
        <v>24436</v>
      </c>
      <c r="T31" s="38">
        <f t="shared" ref="T31" si="13">ROUND(S31*0.05,0)</f>
        <v>1222</v>
      </c>
      <c r="U31" s="41">
        <f t="shared" ref="U31" si="14">S31+T31</f>
        <v>25658</v>
      </c>
      <c r="W31" s="1"/>
      <c r="X31" s="2" t="s">
        <v>1085</v>
      </c>
      <c r="Y31" s="2"/>
      <c r="Z31" s="2"/>
      <c r="AA31" s="2"/>
      <c r="AB31" s="3"/>
      <c r="AC31" s="3">
        <f t="shared" si="8"/>
        <v>0</v>
      </c>
      <c r="AD31" s="4">
        <f t="shared" si="9"/>
        <v>0</v>
      </c>
      <c r="AE31" s="4">
        <f t="shared" si="10"/>
        <v>0</v>
      </c>
      <c r="AF31" s="5">
        <f t="shared" si="11"/>
        <v>0</v>
      </c>
    </row>
    <row r="32" spans="1:32" x14ac:dyDescent="0.25">
      <c r="A32" s="1"/>
      <c r="B32" s="2" t="s">
        <v>1028</v>
      </c>
      <c r="C32" s="2"/>
      <c r="D32" s="2"/>
      <c r="E32" s="2"/>
      <c r="F32" s="3"/>
      <c r="G32" s="3">
        <f t="shared" si="0"/>
        <v>0</v>
      </c>
      <c r="H32" s="4">
        <f t="shared" si="1"/>
        <v>0</v>
      </c>
      <c r="I32" s="4">
        <f t="shared" si="2"/>
        <v>0</v>
      </c>
      <c r="J32" s="5">
        <f t="shared" si="3"/>
        <v>0</v>
      </c>
      <c r="L32" s="33"/>
      <c r="M32" s="36"/>
      <c r="N32" s="36"/>
      <c r="O32" s="13" t="s">
        <v>16</v>
      </c>
      <c r="P32" s="2">
        <v>1</v>
      </c>
      <c r="Q32" s="3">
        <v>3100</v>
      </c>
      <c r="R32" s="16">
        <f t="shared" si="12"/>
        <v>3100</v>
      </c>
      <c r="S32" s="40"/>
      <c r="T32" s="40"/>
      <c r="U32" s="43"/>
      <c r="W32" s="1"/>
      <c r="X32" s="2" t="s">
        <v>1086</v>
      </c>
      <c r="Y32" s="2"/>
      <c r="Z32" s="2"/>
      <c r="AA32" s="2"/>
      <c r="AB32" s="3"/>
      <c r="AC32" s="3">
        <f t="shared" si="8"/>
        <v>0</v>
      </c>
      <c r="AD32" s="4">
        <f t="shared" si="9"/>
        <v>0</v>
      </c>
      <c r="AE32" s="4">
        <f t="shared" si="10"/>
        <v>0</v>
      </c>
      <c r="AF32" s="5">
        <f t="shared" si="11"/>
        <v>0</v>
      </c>
    </row>
    <row r="33" spans="1:32" ht="16.5" x14ac:dyDescent="0.25">
      <c r="A33" s="1"/>
      <c r="B33" s="2" t="s">
        <v>1029</v>
      </c>
      <c r="C33" s="2"/>
      <c r="D33" s="2"/>
      <c r="E33" s="2"/>
      <c r="F33" s="3"/>
      <c r="G33" s="3">
        <f t="shared" si="0"/>
        <v>0</v>
      </c>
      <c r="H33" s="4">
        <f t="shared" si="1"/>
        <v>0</v>
      </c>
      <c r="I33" s="4">
        <f t="shared" si="2"/>
        <v>0</v>
      </c>
      <c r="J33" s="5">
        <f t="shared" si="3"/>
        <v>0</v>
      </c>
      <c r="L33" s="6">
        <v>45992</v>
      </c>
      <c r="M33" s="2" t="s">
        <v>1126</v>
      </c>
      <c r="N33" s="67" t="s">
        <v>607</v>
      </c>
      <c r="O33" s="67" t="s">
        <v>14</v>
      </c>
      <c r="P33" s="2">
        <v>1</v>
      </c>
      <c r="Q33" s="3">
        <v>4250</v>
      </c>
      <c r="R33" s="3">
        <f t="shared" si="4"/>
        <v>4250</v>
      </c>
      <c r="S33" s="4">
        <f t="shared" si="5"/>
        <v>4250</v>
      </c>
      <c r="T33" s="4">
        <f t="shared" si="6"/>
        <v>213</v>
      </c>
      <c r="U33" s="5">
        <f t="shared" si="7"/>
        <v>4463</v>
      </c>
      <c r="W33" s="1"/>
      <c r="X33" s="2" t="s">
        <v>1087</v>
      </c>
      <c r="Y33" s="2"/>
      <c r="Z33" s="2"/>
      <c r="AA33" s="2"/>
      <c r="AB33" s="3"/>
      <c r="AC33" s="3">
        <f t="shared" si="8"/>
        <v>0</v>
      </c>
      <c r="AD33" s="4">
        <f t="shared" si="9"/>
        <v>0</v>
      </c>
      <c r="AE33" s="4">
        <f t="shared" si="10"/>
        <v>0</v>
      </c>
      <c r="AF33" s="5">
        <f t="shared" si="11"/>
        <v>0</v>
      </c>
    </row>
    <row r="34" spans="1:32" ht="16.5" x14ac:dyDescent="0.25">
      <c r="A34" s="1"/>
      <c r="B34" s="2" t="s">
        <v>1030</v>
      </c>
      <c r="C34" s="2"/>
      <c r="D34" s="2"/>
      <c r="E34" s="2"/>
      <c r="F34" s="3"/>
      <c r="G34" s="3">
        <f t="shared" si="0"/>
        <v>0</v>
      </c>
      <c r="H34" s="4">
        <f t="shared" si="1"/>
        <v>0</v>
      </c>
      <c r="I34" s="4">
        <f t="shared" si="2"/>
        <v>0</v>
      </c>
      <c r="J34" s="5">
        <f t="shared" si="3"/>
        <v>0</v>
      </c>
      <c r="L34" s="6">
        <v>45992</v>
      </c>
      <c r="M34" s="2" t="s">
        <v>1127</v>
      </c>
      <c r="N34" s="67" t="s">
        <v>73</v>
      </c>
      <c r="O34" s="67" t="s">
        <v>14</v>
      </c>
      <c r="P34" s="2">
        <v>97</v>
      </c>
      <c r="Q34" s="3">
        <v>2141.13</v>
      </c>
      <c r="R34" s="3">
        <v>207690</v>
      </c>
      <c r="S34" s="4">
        <f t="shared" si="5"/>
        <v>207690</v>
      </c>
      <c r="T34" s="4">
        <f t="shared" si="6"/>
        <v>10385</v>
      </c>
      <c r="U34" s="5">
        <f t="shared" si="7"/>
        <v>218075</v>
      </c>
      <c r="W34" s="1"/>
      <c r="X34" s="2" t="s">
        <v>1088</v>
      </c>
      <c r="Y34" s="2"/>
      <c r="Z34" s="2"/>
      <c r="AA34" s="2"/>
      <c r="AB34" s="3"/>
      <c r="AC34" s="3">
        <f t="shared" si="8"/>
        <v>0</v>
      </c>
      <c r="AD34" s="4">
        <f t="shared" si="9"/>
        <v>0</v>
      </c>
      <c r="AE34" s="4">
        <f t="shared" si="10"/>
        <v>0</v>
      </c>
      <c r="AF34" s="5">
        <f t="shared" si="11"/>
        <v>0</v>
      </c>
    </row>
    <row r="35" spans="1:32" ht="16.5" x14ac:dyDescent="0.25">
      <c r="A35" s="1"/>
      <c r="B35" s="2" t="s">
        <v>1031</v>
      </c>
      <c r="C35" s="2"/>
      <c r="D35" s="2"/>
      <c r="E35" s="2"/>
      <c r="F35" s="3"/>
      <c r="G35" s="3">
        <f t="shared" si="0"/>
        <v>0</v>
      </c>
      <c r="H35" s="4">
        <f t="shared" si="1"/>
        <v>0</v>
      </c>
      <c r="I35" s="4">
        <f t="shared" si="2"/>
        <v>0</v>
      </c>
      <c r="J35" s="5">
        <f t="shared" si="3"/>
        <v>0</v>
      </c>
      <c r="L35" s="6">
        <v>45992</v>
      </c>
      <c r="M35" s="2" t="s">
        <v>1128</v>
      </c>
      <c r="N35" s="67" t="s">
        <v>75</v>
      </c>
      <c r="O35" s="67" t="s">
        <v>14</v>
      </c>
      <c r="P35" s="2">
        <v>55</v>
      </c>
      <c r="Q35" s="3">
        <v>2680.91</v>
      </c>
      <c r="R35" s="3">
        <f t="shared" si="4"/>
        <v>147450.04999999999</v>
      </c>
      <c r="S35" s="4">
        <f t="shared" si="5"/>
        <v>147450.04999999999</v>
      </c>
      <c r="T35" s="4">
        <f t="shared" si="6"/>
        <v>7373</v>
      </c>
      <c r="U35" s="5">
        <f t="shared" si="7"/>
        <v>154823.04999999999</v>
      </c>
      <c r="W35" s="1"/>
      <c r="X35" s="2" t="s">
        <v>1089</v>
      </c>
      <c r="Y35" s="2"/>
      <c r="Z35" s="2"/>
      <c r="AA35" s="2"/>
      <c r="AB35" s="3"/>
      <c r="AC35" s="3">
        <f t="shared" si="8"/>
        <v>0</v>
      </c>
      <c r="AD35" s="4">
        <f t="shared" si="9"/>
        <v>0</v>
      </c>
      <c r="AE35" s="4">
        <f t="shared" si="10"/>
        <v>0</v>
      </c>
      <c r="AF35" s="5">
        <f t="shared" si="11"/>
        <v>0</v>
      </c>
    </row>
    <row r="36" spans="1:32" ht="16.5" x14ac:dyDescent="0.25">
      <c r="A36" s="1"/>
      <c r="B36" s="2" t="s">
        <v>1032</v>
      </c>
      <c r="C36" s="2"/>
      <c r="D36" s="2"/>
      <c r="E36" s="2"/>
      <c r="F36" s="3"/>
      <c r="G36" s="3">
        <f t="shared" si="0"/>
        <v>0</v>
      </c>
      <c r="H36" s="4">
        <f t="shared" si="1"/>
        <v>0</v>
      </c>
      <c r="I36" s="4">
        <f t="shared" si="2"/>
        <v>0</v>
      </c>
      <c r="J36" s="5">
        <f t="shared" si="3"/>
        <v>0</v>
      </c>
      <c r="L36" s="6">
        <v>45992</v>
      </c>
      <c r="M36" s="2" t="s">
        <v>1129</v>
      </c>
      <c r="N36" s="67" t="s">
        <v>74</v>
      </c>
      <c r="O36" s="67" t="s">
        <v>14</v>
      </c>
      <c r="P36" s="2">
        <v>244</v>
      </c>
      <c r="Q36" s="3">
        <v>2280</v>
      </c>
      <c r="R36" s="3">
        <f t="shared" si="4"/>
        <v>556320</v>
      </c>
      <c r="S36" s="4">
        <f t="shared" si="5"/>
        <v>556320</v>
      </c>
      <c r="T36" s="4">
        <f t="shared" si="6"/>
        <v>27816</v>
      </c>
      <c r="U36" s="5">
        <f t="shared" si="7"/>
        <v>584136</v>
      </c>
      <c r="W36" s="1"/>
      <c r="X36" s="2" t="s">
        <v>1090</v>
      </c>
      <c r="Y36" s="2"/>
      <c r="Z36" s="2"/>
      <c r="AA36" s="2"/>
      <c r="AB36" s="3"/>
      <c r="AC36" s="3">
        <f t="shared" si="8"/>
        <v>0</v>
      </c>
      <c r="AD36" s="4">
        <f t="shared" si="9"/>
        <v>0</v>
      </c>
      <c r="AE36" s="4">
        <f t="shared" si="10"/>
        <v>0</v>
      </c>
      <c r="AF36" s="5">
        <f t="shared" si="11"/>
        <v>0</v>
      </c>
    </row>
    <row r="37" spans="1:32" ht="16.5" x14ac:dyDescent="0.25">
      <c r="A37" s="1"/>
      <c r="B37" s="2" t="s">
        <v>1033</v>
      </c>
      <c r="C37" s="2"/>
      <c r="D37" s="2"/>
      <c r="E37" s="2"/>
      <c r="F37" s="3"/>
      <c r="G37" s="3">
        <f t="shared" si="0"/>
        <v>0</v>
      </c>
      <c r="H37" s="4">
        <f t="shared" si="1"/>
        <v>0</v>
      </c>
      <c r="I37" s="4">
        <f t="shared" si="2"/>
        <v>0</v>
      </c>
      <c r="J37" s="5">
        <f t="shared" si="3"/>
        <v>0</v>
      </c>
      <c r="L37" s="6">
        <v>45992</v>
      </c>
      <c r="M37" s="2" t="s">
        <v>1130</v>
      </c>
      <c r="N37" s="67" t="s">
        <v>365</v>
      </c>
      <c r="O37" s="67" t="s">
        <v>14</v>
      </c>
      <c r="P37" s="2">
        <v>2</v>
      </c>
      <c r="Q37" s="3">
        <v>4800</v>
      </c>
      <c r="R37" s="3">
        <f t="shared" si="4"/>
        <v>9600</v>
      </c>
      <c r="S37" s="4">
        <f t="shared" si="5"/>
        <v>9600</v>
      </c>
      <c r="T37" s="4">
        <f t="shared" si="6"/>
        <v>480</v>
      </c>
      <c r="U37" s="5">
        <f t="shared" si="7"/>
        <v>10080</v>
      </c>
      <c r="W37" s="1"/>
      <c r="X37" s="2" t="s">
        <v>1091</v>
      </c>
      <c r="Y37" s="2"/>
      <c r="Z37" s="2"/>
      <c r="AA37" s="2"/>
      <c r="AB37" s="3"/>
      <c r="AC37" s="3">
        <f t="shared" si="8"/>
        <v>0</v>
      </c>
      <c r="AD37" s="4">
        <f t="shared" si="9"/>
        <v>0</v>
      </c>
      <c r="AE37" s="4">
        <f t="shared" si="10"/>
        <v>0</v>
      </c>
      <c r="AF37" s="5">
        <f t="shared" si="11"/>
        <v>0</v>
      </c>
    </row>
    <row r="38" spans="1:32" ht="16.5" x14ac:dyDescent="0.25">
      <c r="A38" s="1"/>
      <c r="B38" s="2" t="s">
        <v>1034</v>
      </c>
      <c r="C38" s="2"/>
      <c r="D38" s="2"/>
      <c r="E38" s="2"/>
      <c r="F38" s="3"/>
      <c r="G38" s="3">
        <f t="shared" si="0"/>
        <v>0</v>
      </c>
      <c r="H38" s="4">
        <f t="shared" si="1"/>
        <v>0</v>
      </c>
      <c r="I38" s="4">
        <f t="shared" si="2"/>
        <v>0</v>
      </c>
      <c r="J38" s="5">
        <f t="shared" si="3"/>
        <v>0</v>
      </c>
      <c r="L38" s="6">
        <v>45992</v>
      </c>
      <c r="M38" s="2" t="s">
        <v>1131</v>
      </c>
      <c r="N38" s="67" t="s">
        <v>177</v>
      </c>
      <c r="O38" s="67" t="s">
        <v>14</v>
      </c>
      <c r="P38" s="2">
        <v>14</v>
      </c>
      <c r="Q38" s="3">
        <v>2530.64</v>
      </c>
      <c r="R38" s="3">
        <f t="shared" si="4"/>
        <v>35428.959999999999</v>
      </c>
      <c r="S38" s="4">
        <f t="shared" si="5"/>
        <v>35428.959999999999</v>
      </c>
      <c r="T38" s="4">
        <f t="shared" si="6"/>
        <v>1771</v>
      </c>
      <c r="U38" s="5">
        <f t="shared" si="7"/>
        <v>37199.96</v>
      </c>
      <c r="W38" s="1"/>
      <c r="X38" s="2" t="s">
        <v>1092</v>
      </c>
      <c r="Y38" s="2"/>
      <c r="Z38" s="2"/>
      <c r="AA38" s="2"/>
      <c r="AB38" s="3"/>
      <c r="AC38" s="3">
        <f t="shared" si="8"/>
        <v>0</v>
      </c>
      <c r="AD38" s="4">
        <f t="shared" si="9"/>
        <v>0</v>
      </c>
      <c r="AE38" s="4">
        <f t="shared" si="10"/>
        <v>0</v>
      </c>
      <c r="AF38" s="5">
        <f t="shared" si="11"/>
        <v>0</v>
      </c>
    </row>
    <row r="39" spans="1:32" ht="16.5" x14ac:dyDescent="0.25">
      <c r="A39" s="1"/>
      <c r="B39" s="2" t="s">
        <v>1035</v>
      </c>
      <c r="C39" s="2"/>
      <c r="D39" s="2"/>
      <c r="E39" s="2"/>
      <c r="F39" s="3"/>
      <c r="G39" s="3">
        <f t="shared" si="0"/>
        <v>0</v>
      </c>
      <c r="H39" s="4">
        <f t="shared" si="1"/>
        <v>0</v>
      </c>
      <c r="I39" s="4">
        <f t="shared" si="2"/>
        <v>0</v>
      </c>
      <c r="J39" s="5">
        <f t="shared" si="3"/>
        <v>0</v>
      </c>
      <c r="L39" s="6">
        <v>45992</v>
      </c>
      <c r="M39" s="2" t="s">
        <v>1132</v>
      </c>
      <c r="N39" s="67" t="s">
        <v>218</v>
      </c>
      <c r="O39" s="67" t="s">
        <v>14</v>
      </c>
      <c r="P39" s="2">
        <v>3</v>
      </c>
      <c r="Q39" s="3">
        <v>4585.33</v>
      </c>
      <c r="R39" s="3">
        <f t="shared" si="4"/>
        <v>13755.99</v>
      </c>
      <c r="S39" s="4">
        <f t="shared" si="5"/>
        <v>13755.99</v>
      </c>
      <c r="T39" s="4">
        <f t="shared" si="6"/>
        <v>688</v>
      </c>
      <c r="U39" s="5">
        <f t="shared" si="7"/>
        <v>14443.99</v>
      </c>
      <c r="W39" s="1"/>
      <c r="X39" s="2" t="s">
        <v>1093</v>
      </c>
      <c r="Y39" s="2"/>
      <c r="Z39" s="2"/>
      <c r="AA39" s="2"/>
      <c r="AB39" s="3"/>
      <c r="AC39" s="3">
        <f t="shared" si="8"/>
        <v>0</v>
      </c>
      <c r="AD39" s="4">
        <f t="shared" si="9"/>
        <v>0</v>
      </c>
      <c r="AE39" s="4">
        <f t="shared" si="10"/>
        <v>0</v>
      </c>
      <c r="AF39" s="5">
        <f t="shared" si="11"/>
        <v>0</v>
      </c>
    </row>
    <row r="40" spans="1:32" ht="16.5" x14ac:dyDescent="0.25">
      <c r="A40" s="1"/>
      <c r="B40" s="2" t="s">
        <v>1036</v>
      </c>
      <c r="C40" s="2"/>
      <c r="D40" s="2"/>
      <c r="E40" s="2"/>
      <c r="F40" s="3"/>
      <c r="G40" s="3">
        <f t="shared" si="0"/>
        <v>0</v>
      </c>
      <c r="H40" s="4">
        <f t="shared" si="1"/>
        <v>0</v>
      </c>
      <c r="I40" s="4">
        <f t="shared" si="2"/>
        <v>0</v>
      </c>
      <c r="J40" s="5">
        <f t="shared" si="3"/>
        <v>0</v>
      </c>
      <c r="L40" s="6">
        <v>45992</v>
      </c>
      <c r="M40" s="2" t="s">
        <v>1133</v>
      </c>
      <c r="N40" s="67" t="s">
        <v>178</v>
      </c>
      <c r="O40" s="67" t="s">
        <v>14</v>
      </c>
      <c r="P40" s="2">
        <v>8</v>
      </c>
      <c r="Q40" s="3">
        <v>3646.25</v>
      </c>
      <c r="R40" s="3">
        <f t="shared" si="4"/>
        <v>29170</v>
      </c>
      <c r="S40" s="4">
        <f t="shared" si="5"/>
        <v>29170</v>
      </c>
      <c r="T40" s="4">
        <f t="shared" si="6"/>
        <v>1459</v>
      </c>
      <c r="U40" s="5">
        <f t="shared" si="7"/>
        <v>30629</v>
      </c>
      <c r="W40" s="1"/>
      <c r="X40" s="2" t="s">
        <v>1094</v>
      </c>
      <c r="Y40" s="2"/>
      <c r="Z40" s="2"/>
      <c r="AA40" s="2"/>
      <c r="AB40" s="3"/>
      <c r="AC40" s="3">
        <f t="shared" si="8"/>
        <v>0</v>
      </c>
      <c r="AD40" s="4">
        <f t="shared" si="9"/>
        <v>0</v>
      </c>
      <c r="AE40" s="4">
        <f t="shared" si="10"/>
        <v>0</v>
      </c>
      <c r="AF40" s="5">
        <f t="shared" si="11"/>
        <v>0</v>
      </c>
    </row>
    <row r="41" spans="1:32" x14ac:dyDescent="0.25">
      <c r="A41" s="1"/>
      <c r="B41" s="2" t="s">
        <v>1037</v>
      </c>
      <c r="C41" s="2"/>
      <c r="D41" s="2"/>
      <c r="E41" s="2"/>
      <c r="F41" s="3"/>
      <c r="G41" s="3">
        <f t="shared" si="0"/>
        <v>0</v>
      </c>
      <c r="H41" s="4">
        <f t="shared" si="1"/>
        <v>0</v>
      </c>
      <c r="I41" s="4">
        <f t="shared" si="2"/>
        <v>0</v>
      </c>
      <c r="J41" s="5">
        <f t="shared" si="3"/>
        <v>0</v>
      </c>
      <c r="L41" s="31">
        <v>45993</v>
      </c>
      <c r="M41" s="34" t="s">
        <v>1156</v>
      </c>
      <c r="N41" s="37" t="s">
        <v>217</v>
      </c>
      <c r="O41" s="13" t="s">
        <v>14</v>
      </c>
      <c r="P41" s="2">
        <v>2</v>
      </c>
      <c r="Q41" s="3">
        <v>3093</v>
      </c>
      <c r="R41" s="16">
        <f t="shared" si="4"/>
        <v>6186</v>
      </c>
      <c r="S41" s="38">
        <f>R41+R42</f>
        <v>18886.02</v>
      </c>
      <c r="T41" s="38">
        <f t="shared" si="6"/>
        <v>944</v>
      </c>
      <c r="U41" s="41">
        <f t="shared" si="7"/>
        <v>19830.02</v>
      </c>
      <c r="W41" s="1"/>
      <c r="X41" s="2" t="s">
        <v>1095</v>
      </c>
      <c r="Y41" s="2"/>
      <c r="Z41" s="2"/>
      <c r="AA41" s="2"/>
      <c r="AB41" s="3"/>
      <c r="AC41" s="3">
        <f t="shared" si="8"/>
        <v>0</v>
      </c>
      <c r="AD41" s="4">
        <f t="shared" si="9"/>
        <v>0</v>
      </c>
      <c r="AE41" s="4">
        <f t="shared" si="10"/>
        <v>0</v>
      </c>
      <c r="AF41" s="5">
        <f t="shared" si="11"/>
        <v>0</v>
      </c>
    </row>
    <row r="42" spans="1:32" x14ac:dyDescent="0.25">
      <c r="A42" s="1"/>
      <c r="B42" s="2" t="s">
        <v>1038</v>
      </c>
      <c r="C42" s="2"/>
      <c r="D42" s="2"/>
      <c r="E42" s="2"/>
      <c r="F42" s="3"/>
      <c r="G42" s="3">
        <f t="shared" si="0"/>
        <v>0</v>
      </c>
      <c r="H42" s="4">
        <f t="shared" si="1"/>
        <v>0</v>
      </c>
      <c r="I42" s="4">
        <f t="shared" si="2"/>
        <v>0</v>
      </c>
      <c r="J42" s="5">
        <f t="shared" si="3"/>
        <v>0</v>
      </c>
      <c r="L42" s="33"/>
      <c r="M42" s="36"/>
      <c r="N42" s="36"/>
      <c r="O42" s="13" t="s">
        <v>16</v>
      </c>
      <c r="P42" s="2">
        <v>6</v>
      </c>
      <c r="Q42" s="3">
        <v>2116.67</v>
      </c>
      <c r="R42" s="16">
        <f t="shared" si="4"/>
        <v>12700.02</v>
      </c>
      <c r="S42" s="40"/>
      <c r="T42" s="40"/>
      <c r="U42" s="43"/>
      <c r="W42" s="1"/>
      <c r="X42" s="2" t="s">
        <v>1096</v>
      </c>
      <c r="Y42" s="2"/>
      <c r="Z42" s="2"/>
      <c r="AA42" s="2"/>
      <c r="AB42" s="3"/>
      <c r="AC42" s="3">
        <f t="shared" si="8"/>
        <v>0</v>
      </c>
      <c r="AD42" s="4">
        <f t="shared" si="9"/>
        <v>0</v>
      </c>
      <c r="AE42" s="4">
        <f t="shared" si="10"/>
        <v>0</v>
      </c>
      <c r="AF42" s="5">
        <f t="shared" si="11"/>
        <v>0</v>
      </c>
    </row>
    <row r="43" spans="1:32" ht="16.5" x14ac:dyDescent="0.25">
      <c r="A43" s="1"/>
      <c r="B43" s="2" t="s">
        <v>1039</v>
      </c>
      <c r="C43" s="2"/>
      <c r="D43" s="2"/>
      <c r="E43" s="2"/>
      <c r="F43" s="3"/>
      <c r="G43" s="3">
        <f t="shared" si="0"/>
        <v>0</v>
      </c>
      <c r="H43" s="4">
        <f t="shared" si="1"/>
        <v>0</v>
      </c>
      <c r="I43" s="4">
        <f t="shared" si="2"/>
        <v>0</v>
      </c>
      <c r="J43" s="5">
        <f t="shared" si="3"/>
        <v>0</v>
      </c>
      <c r="L43" s="6">
        <v>45993</v>
      </c>
      <c r="M43" s="2" t="s">
        <v>1134</v>
      </c>
      <c r="N43" s="67" t="s">
        <v>374</v>
      </c>
      <c r="O43" s="13" t="s">
        <v>14</v>
      </c>
      <c r="P43" s="2">
        <v>2</v>
      </c>
      <c r="Q43" s="3">
        <v>6500</v>
      </c>
      <c r="R43" s="3">
        <f t="shared" si="4"/>
        <v>13000</v>
      </c>
      <c r="S43" s="4">
        <f t="shared" si="5"/>
        <v>13000</v>
      </c>
      <c r="T43" s="4">
        <f t="shared" si="6"/>
        <v>650</v>
      </c>
      <c r="U43" s="5">
        <f t="shared" si="7"/>
        <v>13650</v>
      </c>
      <c r="W43" s="1"/>
      <c r="X43" s="2" t="s">
        <v>1097</v>
      </c>
      <c r="Y43" s="2"/>
      <c r="Z43" s="2"/>
      <c r="AA43" s="2"/>
      <c r="AB43" s="3"/>
      <c r="AC43" s="3">
        <f t="shared" si="8"/>
        <v>0</v>
      </c>
      <c r="AD43" s="4">
        <f t="shared" si="9"/>
        <v>0</v>
      </c>
      <c r="AE43" s="4">
        <f t="shared" si="10"/>
        <v>0</v>
      </c>
      <c r="AF43" s="5">
        <f t="shared" si="11"/>
        <v>0</v>
      </c>
    </row>
    <row r="44" spans="1:32" ht="16.5" x14ac:dyDescent="0.25">
      <c r="A44" s="1"/>
      <c r="B44" s="2" t="s">
        <v>1040</v>
      </c>
      <c r="C44" s="2"/>
      <c r="D44" s="2"/>
      <c r="E44" s="2"/>
      <c r="F44" s="3"/>
      <c r="G44" s="3">
        <f t="shared" si="0"/>
        <v>0</v>
      </c>
      <c r="H44" s="4">
        <f t="shared" si="1"/>
        <v>0</v>
      </c>
      <c r="I44" s="4">
        <f t="shared" si="2"/>
        <v>0</v>
      </c>
      <c r="J44" s="5">
        <f t="shared" si="3"/>
        <v>0</v>
      </c>
      <c r="L44" s="6">
        <v>45995</v>
      </c>
      <c r="M44" s="2" t="s">
        <v>1135</v>
      </c>
      <c r="N44" s="67" t="s">
        <v>1157</v>
      </c>
      <c r="O44" s="13" t="s">
        <v>14</v>
      </c>
      <c r="P44" s="2">
        <v>2</v>
      </c>
      <c r="Q44" s="3">
        <v>2700</v>
      </c>
      <c r="R44" s="3">
        <f t="shared" si="4"/>
        <v>5400</v>
      </c>
      <c r="S44" s="4">
        <f t="shared" si="5"/>
        <v>5400</v>
      </c>
      <c r="T44" s="4">
        <f t="shared" si="6"/>
        <v>270</v>
      </c>
      <c r="U44" s="5">
        <f t="shared" si="7"/>
        <v>5670</v>
      </c>
      <c r="W44" s="1"/>
      <c r="X44" s="2" t="s">
        <v>1098</v>
      </c>
      <c r="Y44" s="2"/>
      <c r="Z44" s="2"/>
      <c r="AA44" s="2"/>
      <c r="AB44" s="3"/>
      <c r="AC44" s="3">
        <f t="shared" si="8"/>
        <v>0</v>
      </c>
      <c r="AD44" s="4">
        <f t="shared" si="9"/>
        <v>0</v>
      </c>
      <c r="AE44" s="4">
        <f t="shared" si="10"/>
        <v>0</v>
      </c>
      <c r="AF44" s="5">
        <f t="shared" si="11"/>
        <v>0</v>
      </c>
    </row>
    <row r="45" spans="1:32" ht="16.5" x14ac:dyDescent="0.25">
      <c r="A45" s="1"/>
      <c r="B45" s="2" t="s">
        <v>1041</v>
      </c>
      <c r="C45" s="2"/>
      <c r="D45" s="2"/>
      <c r="E45" s="2"/>
      <c r="F45" s="3"/>
      <c r="G45" s="3">
        <f t="shared" si="0"/>
        <v>0</v>
      </c>
      <c r="H45" s="4">
        <f t="shared" si="1"/>
        <v>0</v>
      </c>
      <c r="I45" s="4">
        <f t="shared" si="2"/>
        <v>0</v>
      </c>
      <c r="J45" s="5">
        <f t="shared" si="3"/>
        <v>0</v>
      </c>
      <c r="L45" s="6">
        <v>46001</v>
      </c>
      <c r="M45" s="2" t="s">
        <v>1136</v>
      </c>
      <c r="N45" s="67" t="s">
        <v>1158</v>
      </c>
      <c r="O45" s="67" t="s">
        <v>15</v>
      </c>
      <c r="P45" s="2">
        <v>1</v>
      </c>
      <c r="Q45" s="3">
        <v>630</v>
      </c>
      <c r="R45" s="3">
        <f t="shared" si="4"/>
        <v>630</v>
      </c>
      <c r="S45" s="4">
        <f t="shared" si="5"/>
        <v>630</v>
      </c>
      <c r="T45" s="4">
        <f t="shared" si="6"/>
        <v>32</v>
      </c>
      <c r="U45" s="5">
        <f t="shared" si="7"/>
        <v>662</v>
      </c>
      <c r="W45" s="1"/>
      <c r="X45" s="2" t="s">
        <v>1099</v>
      </c>
      <c r="Y45" s="2"/>
      <c r="Z45" s="2"/>
      <c r="AA45" s="2"/>
      <c r="AB45" s="3"/>
      <c r="AC45" s="3">
        <f t="shared" si="8"/>
        <v>0</v>
      </c>
      <c r="AD45" s="4">
        <f t="shared" si="9"/>
        <v>0</v>
      </c>
      <c r="AE45" s="4">
        <f t="shared" si="10"/>
        <v>0</v>
      </c>
      <c r="AF45" s="5">
        <f t="shared" si="11"/>
        <v>0</v>
      </c>
    </row>
    <row r="46" spans="1:32" x14ac:dyDescent="0.25">
      <c r="A46" s="1"/>
      <c r="B46" s="2" t="s">
        <v>1042</v>
      </c>
      <c r="C46" s="2"/>
      <c r="D46" s="2"/>
      <c r="E46" s="2"/>
      <c r="F46" s="3"/>
      <c r="G46" s="3">
        <f t="shared" si="0"/>
        <v>0</v>
      </c>
      <c r="H46" s="4">
        <f t="shared" si="1"/>
        <v>0</v>
      </c>
      <c r="I46" s="4">
        <f t="shared" si="2"/>
        <v>0</v>
      </c>
      <c r="J46" s="5">
        <f t="shared" si="3"/>
        <v>0</v>
      </c>
      <c r="L46" s="1"/>
      <c r="M46" s="2" t="s">
        <v>1137</v>
      </c>
      <c r="N46" s="2"/>
      <c r="O46" s="2"/>
      <c r="P46" s="2"/>
      <c r="Q46" s="3"/>
      <c r="R46" s="3">
        <f t="shared" si="4"/>
        <v>0</v>
      </c>
      <c r="S46" s="4">
        <f t="shared" si="5"/>
        <v>0</v>
      </c>
      <c r="T46" s="4">
        <f t="shared" si="6"/>
        <v>0</v>
      </c>
      <c r="U46" s="5">
        <f t="shared" si="7"/>
        <v>0</v>
      </c>
      <c r="W46" s="1"/>
      <c r="X46" s="2" t="s">
        <v>1100</v>
      </c>
      <c r="Y46" s="2"/>
      <c r="Z46" s="2"/>
      <c r="AA46" s="2"/>
      <c r="AB46" s="3"/>
      <c r="AC46" s="3">
        <f t="shared" si="8"/>
        <v>0</v>
      </c>
      <c r="AD46" s="4">
        <f t="shared" si="9"/>
        <v>0</v>
      </c>
      <c r="AE46" s="4">
        <f t="shared" si="10"/>
        <v>0</v>
      </c>
      <c r="AF46" s="5">
        <f t="shared" si="11"/>
        <v>0</v>
      </c>
    </row>
    <row r="47" spans="1:32" x14ac:dyDescent="0.25">
      <c r="A47" s="1"/>
      <c r="B47" s="2" t="s">
        <v>1043</v>
      </c>
      <c r="C47" s="2"/>
      <c r="D47" s="2"/>
      <c r="E47" s="2"/>
      <c r="F47" s="3"/>
      <c r="G47" s="3">
        <f t="shared" si="0"/>
        <v>0</v>
      </c>
      <c r="H47" s="4">
        <f t="shared" si="1"/>
        <v>0</v>
      </c>
      <c r="I47" s="4">
        <f t="shared" si="2"/>
        <v>0</v>
      </c>
      <c r="J47" s="5">
        <f t="shared" si="3"/>
        <v>0</v>
      </c>
      <c r="L47" s="1"/>
      <c r="M47" s="2" t="s">
        <v>1138</v>
      </c>
      <c r="N47" s="2"/>
      <c r="O47" s="2"/>
      <c r="P47" s="2"/>
      <c r="Q47" s="3"/>
      <c r="R47" s="3">
        <f t="shared" si="4"/>
        <v>0</v>
      </c>
      <c r="S47" s="4">
        <f t="shared" si="5"/>
        <v>0</v>
      </c>
      <c r="T47" s="4">
        <f t="shared" si="6"/>
        <v>0</v>
      </c>
      <c r="U47" s="5">
        <f t="shared" si="7"/>
        <v>0</v>
      </c>
      <c r="W47" s="1"/>
      <c r="X47" s="2" t="s">
        <v>1101</v>
      </c>
      <c r="Y47" s="2"/>
      <c r="Z47" s="2"/>
      <c r="AA47" s="2"/>
      <c r="AB47" s="3"/>
      <c r="AC47" s="3">
        <f t="shared" si="8"/>
        <v>0</v>
      </c>
      <c r="AD47" s="4">
        <f t="shared" si="9"/>
        <v>0</v>
      </c>
      <c r="AE47" s="4">
        <f t="shared" si="10"/>
        <v>0</v>
      </c>
      <c r="AF47" s="5">
        <f t="shared" si="11"/>
        <v>0</v>
      </c>
    </row>
    <row r="48" spans="1:32" x14ac:dyDescent="0.25">
      <c r="A48" s="1"/>
      <c r="B48" s="2" t="s">
        <v>1044</v>
      </c>
      <c r="C48" s="2"/>
      <c r="D48" s="2"/>
      <c r="E48" s="2"/>
      <c r="F48" s="3"/>
      <c r="G48" s="3">
        <f t="shared" si="0"/>
        <v>0</v>
      </c>
      <c r="H48" s="4">
        <f t="shared" si="1"/>
        <v>0</v>
      </c>
      <c r="I48" s="4">
        <f t="shared" si="2"/>
        <v>0</v>
      </c>
      <c r="J48" s="5">
        <f t="shared" si="3"/>
        <v>0</v>
      </c>
      <c r="L48" s="1"/>
      <c r="M48" s="2" t="s">
        <v>1139</v>
      </c>
      <c r="N48" s="2"/>
      <c r="O48" s="2"/>
      <c r="P48" s="2"/>
      <c r="Q48" s="3"/>
      <c r="R48" s="3">
        <f t="shared" si="4"/>
        <v>0</v>
      </c>
      <c r="S48" s="4">
        <f t="shared" si="5"/>
        <v>0</v>
      </c>
      <c r="T48" s="4">
        <f t="shared" si="6"/>
        <v>0</v>
      </c>
      <c r="U48" s="5">
        <f t="shared" si="7"/>
        <v>0</v>
      </c>
      <c r="W48" s="1"/>
      <c r="X48" s="2" t="s">
        <v>1102</v>
      </c>
      <c r="Y48" s="2"/>
      <c r="Z48" s="2"/>
      <c r="AA48" s="2"/>
      <c r="AB48" s="3"/>
      <c r="AC48" s="3">
        <f t="shared" si="8"/>
        <v>0</v>
      </c>
      <c r="AD48" s="4">
        <f t="shared" si="9"/>
        <v>0</v>
      </c>
      <c r="AE48" s="4">
        <f t="shared" si="10"/>
        <v>0</v>
      </c>
      <c r="AF48" s="5">
        <f t="shared" si="11"/>
        <v>0</v>
      </c>
    </row>
    <row r="49" spans="1:32" x14ac:dyDescent="0.25">
      <c r="A49" s="1"/>
      <c r="B49" s="2" t="s">
        <v>1045</v>
      </c>
      <c r="C49" s="2"/>
      <c r="D49" s="2"/>
      <c r="E49" s="2"/>
      <c r="F49" s="3"/>
      <c r="G49" s="3">
        <f t="shared" si="0"/>
        <v>0</v>
      </c>
      <c r="H49" s="4">
        <f t="shared" si="1"/>
        <v>0</v>
      </c>
      <c r="I49" s="4">
        <f t="shared" si="2"/>
        <v>0</v>
      </c>
      <c r="J49" s="5">
        <f t="shared" si="3"/>
        <v>0</v>
      </c>
      <c r="L49" s="1"/>
      <c r="M49" s="2" t="s">
        <v>1140</v>
      </c>
      <c r="N49" s="2"/>
      <c r="O49" s="2"/>
      <c r="P49" s="2"/>
      <c r="Q49" s="3"/>
      <c r="R49" s="3">
        <f t="shared" si="4"/>
        <v>0</v>
      </c>
      <c r="S49" s="4">
        <f t="shared" si="5"/>
        <v>0</v>
      </c>
      <c r="T49" s="4">
        <f t="shared" si="6"/>
        <v>0</v>
      </c>
      <c r="U49" s="5">
        <f t="shared" si="7"/>
        <v>0</v>
      </c>
      <c r="W49" s="1"/>
      <c r="X49" s="2" t="s">
        <v>1103</v>
      </c>
      <c r="Y49" s="2"/>
      <c r="Z49" s="2"/>
      <c r="AA49" s="2"/>
      <c r="AB49" s="3"/>
      <c r="AC49" s="3">
        <f t="shared" si="8"/>
        <v>0</v>
      </c>
      <c r="AD49" s="4">
        <f t="shared" si="9"/>
        <v>0</v>
      </c>
      <c r="AE49" s="4">
        <f t="shared" si="10"/>
        <v>0</v>
      </c>
      <c r="AF49" s="5">
        <f t="shared" si="11"/>
        <v>0</v>
      </c>
    </row>
    <row r="50" spans="1:32" x14ac:dyDescent="0.25">
      <c r="A50" s="1"/>
      <c r="B50" s="2" t="s">
        <v>1046</v>
      </c>
      <c r="C50" s="2"/>
      <c r="D50" s="2"/>
      <c r="E50" s="2"/>
      <c r="F50" s="3"/>
      <c r="G50" s="3">
        <f t="shared" si="0"/>
        <v>0</v>
      </c>
      <c r="H50" s="4">
        <f t="shared" si="1"/>
        <v>0</v>
      </c>
      <c r="I50" s="4">
        <f t="shared" si="2"/>
        <v>0</v>
      </c>
      <c r="J50" s="5">
        <f t="shared" si="3"/>
        <v>0</v>
      </c>
      <c r="L50" s="1"/>
      <c r="M50" s="2" t="s">
        <v>1141</v>
      </c>
      <c r="N50" s="2"/>
      <c r="O50" s="2"/>
      <c r="P50" s="2"/>
      <c r="Q50" s="3"/>
      <c r="R50" s="3">
        <f t="shared" si="4"/>
        <v>0</v>
      </c>
      <c r="S50" s="4">
        <f t="shared" si="5"/>
        <v>0</v>
      </c>
      <c r="T50" s="4">
        <f t="shared" si="6"/>
        <v>0</v>
      </c>
      <c r="U50" s="5">
        <f t="shared" si="7"/>
        <v>0</v>
      </c>
      <c r="W50" s="1"/>
      <c r="X50" s="2" t="s">
        <v>1104</v>
      </c>
      <c r="Y50" s="2"/>
      <c r="Z50" s="2"/>
      <c r="AA50" s="2"/>
      <c r="AB50" s="3"/>
      <c r="AC50" s="3">
        <f t="shared" si="8"/>
        <v>0</v>
      </c>
      <c r="AD50" s="4">
        <f t="shared" si="9"/>
        <v>0</v>
      </c>
      <c r="AE50" s="4">
        <f t="shared" si="10"/>
        <v>0</v>
      </c>
      <c r="AF50" s="5">
        <f t="shared" si="11"/>
        <v>0</v>
      </c>
    </row>
    <row r="51" spans="1:32" ht="16.5" x14ac:dyDescent="0.25">
      <c r="A51" s="1"/>
      <c r="B51" s="2" t="s">
        <v>1047</v>
      </c>
      <c r="C51" s="2"/>
      <c r="D51" s="2"/>
      <c r="E51" s="2"/>
      <c r="F51" s="3"/>
      <c r="G51" s="3">
        <f t="shared" si="0"/>
        <v>0</v>
      </c>
      <c r="H51" s="4">
        <f t="shared" si="1"/>
        <v>0</v>
      </c>
      <c r="I51" s="4">
        <f t="shared" si="2"/>
        <v>0</v>
      </c>
      <c r="J51" s="5">
        <f t="shared" si="3"/>
        <v>0</v>
      </c>
      <c r="L51" s="6">
        <v>46007</v>
      </c>
      <c r="M51" s="2" t="s">
        <v>1142</v>
      </c>
      <c r="N51" s="67" t="s">
        <v>1159</v>
      </c>
      <c r="O51" s="13" t="s">
        <v>14</v>
      </c>
      <c r="P51" s="2">
        <v>1</v>
      </c>
      <c r="Q51" s="3">
        <v>5190</v>
      </c>
      <c r="R51" s="3">
        <f t="shared" si="4"/>
        <v>5190</v>
      </c>
      <c r="S51" s="4">
        <f t="shared" si="5"/>
        <v>5190</v>
      </c>
      <c r="T51" s="4">
        <f t="shared" si="6"/>
        <v>260</v>
      </c>
      <c r="U51" s="5">
        <f t="shared" si="7"/>
        <v>5450</v>
      </c>
      <c r="W51" s="1"/>
      <c r="X51" s="2" t="s">
        <v>1105</v>
      </c>
      <c r="Y51" s="2"/>
      <c r="Z51" s="2"/>
      <c r="AA51" s="2"/>
      <c r="AB51" s="3"/>
      <c r="AC51" s="3">
        <f t="shared" si="8"/>
        <v>0</v>
      </c>
      <c r="AD51" s="4">
        <f t="shared" si="9"/>
        <v>0</v>
      </c>
      <c r="AE51" s="4">
        <f t="shared" si="10"/>
        <v>0</v>
      </c>
      <c r="AF51" s="5">
        <f t="shared" si="11"/>
        <v>0</v>
      </c>
    </row>
    <row r="52" spans="1:32" ht="16.5" thickBot="1" x14ac:dyDescent="0.3">
      <c r="A52" s="1"/>
      <c r="B52" s="2" t="s">
        <v>1048</v>
      </c>
      <c r="C52" s="2"/>
      <c r="D52" s="2"/>
      <c r="E52" s="2"/>
      <c r="F52" s="3"/>
      <c r="G52" s="3">
        <f t="shared" si="0"/>
        <v>0</v>
      </c>
      <c r="H52" s="4">
        <f t="shared" si="1"/>
        <v>0</v>
      </c>
      <c r="I52" s="4">
        <f t="shared" si="2"/>
        <v>0</v>
      </c>
      <c r="J52" s="5">
        <f t="shared" si="3"/>
        <v>0</v>
      </c>
      <c r="L52" s="31">
        <v>46007</v>
      </c>
      <c r="M52" s="34" t="s">
        <v>1160</v>
      </c>
      <c r="N52" s="37" t="s">
        <v>1161</v>
      </c>
      <c r="O52" s="13" t="s">
        <v>14</v>
      </c>
      <c r="P52" s="2">
        <v>6</v>
      </c>
      <c r="Q52" s="3">
        <v>2000</v>
      </c>
      <c r="R52" s="16">
        <f t="shared" si="4"/>
        <v>12000</v>
      </c>
      <c r="S52" s="38">
        <f>R52+R53</f>
        <v>12600</v>
      </c>
      <c r="T52" s="38">
        <f t="shared" si="6"/>
        <v>630</v>
      </c>
      <c r="U52" s="41">
        <f t="shared" si="7"/>
        <v>13230</v>
      </c>
      <c r="W52" s="7"/>
      <c r="X52" s="2" t="s">
        <v>1106</v>
      </c>
      <c r="Y52" s="8"/>
      <c r="Z52" s="8"/>
      <c r="AA52" s="8"/>
      <c r="AB52" s="9"/>
      <c r="AC52" s="9">
        <f t="shared" si="8"/>
        <v>0</v>
      </c>
      <c r="AD52" s="10">
        <f t="shared" si="9"/>
        <v>0</v>
      </c>
      <c r="AE52" s="10">
        <f t="shared" si="10"/>
        <v>0</v>
      </c>
      <c r="AF52" s="11">
        <f t="shared" si="11"/>
        <v>0</v>
      </c>
    </row>
    <row r="53" spans="1:32" x14ac:dyDescent="0.25">
      <c r="A53" s="1"/>
      <c r="B53" s="2" t="s">
        <v>1049</v>
      </c>
      <c r="C53" s="2"/>
      <c r="D53" s="2"/>
      <c r="E53" s="2"/>
      <c r="F53" s="3"/>
      <c r="G53" s="3">
        <f t="shared" si="0"/>
        <v>0</v>
      </c>
      <c r="H53" s="4">
        <f t="shared" si="1"/>
        <v>0</v>
      </c>
      <c r="I53" s="4">
        <f t="shared" si="2"/>
        <v>0</v>
      </c>
      <c r="J53" s="5">
        <f t="shared" si="3"/>
        <v>0</v>
      </c>
      <c r="L53" s="33"/>
      <c r="M53" s="36"/>
      <c r="N53" s="36"/>
      <c r="O53" s="13" t="s">
        <v>15</v>
      </c>
      <c r="P53" s="2">
        <v>4</v>
      </c>
      <c r="Q53" s="3">
        <v>150</v>
      </c>
      <c r="R53" s="16">
        <f t="shared" si="4"/>
        <v>600</v>
      </c>
      <c r="S53" s="40"/>
      <c r="T53" s="40"/>
      <c r="U53" s="43"/>
      <c r="AE53" s="14">
        <f>SUM(AE3:AE52)</f>
        <v>130260</v>
      </c>
    </row>
    <row r="54" spans="1:32" ht="17.25" thickBot="1" x14ac:dyDescent="0.3">
      <c r="A54" s="7"/>
      <c r="B54" s="2" t="s">
        <v>1050</v>
      </c>
      <c r="C54" s="8"/>
      <c r="D54" s="8"/>
      <c r="E54" s="8"/>
      <c r="F54" s="9"/>
      <c r="G54" s="9">
        <f t="shared" si="0"/>
        <v>0</v>
      </c>
      <c r="H54" s="10">
        <f t="shared" si="1"/>
        <v>0</v>
      </c>
      <c r="I54" s="10">
        <f t="shared" si="2"/>
        <v>0</v>
      </c>
      <c r="J54" s="11">
        <f t="shared" si="3"/>
        <v>0</v>
      </c>
      <c r="L54" s="6">
        <v>46008</v>
      </c>
      <c r="M54" s="2" t="s">
        <v>1143</v>
      </c>
      <c r="N54" s="67" t="s">
        <v>174</v>
      </c>
      <c r="O54" s="67" t="s">
        <v>993</v>
      </c>
      <c r="P54" s="2">
        <v>1</v>
      </c>
      <c r="Q54" s="3">
        <v>3333</v>
      </c>
      <c r="R54" s="3">
        <f t="shared" si="4"/>
        <v>3333</v>
      </c>
      <c r="S54" s="4">
        <f t="shared" si="5"/>
        <v>3333</v>
      </c>
      <c r="T54" s="4">
        <f t="shared" si="6"/>
        <v>167</v>
      </c>
      <c r="U54" s="5">
        <f t="shared" si="7"/>
        <v>3500</v>
      </c>
    </row>
    <row r="55" spans="1:32" ht="17.25" thickBot="1" x14ac:dyDescent="0.3">
      <c r="I55" s="14">
        <f>SUM(I3:I54)+I58</f>
        <v>110079</v>
      </c>
      <c r="L55" s="6">
        <v>46013</v>
      </c>
      <c r="M55" s="2" t="s">
        <v>1144</v>
      </c>
      <c r="N55" s="67" t="s">
        <v>215</v>
      </c>
      <c r="O55" s="13" t="s">
        <v>14</v>
      </c>
      <c r="P55" s="2">
        <v>67</v>
      </c>
      <c r="Q55" s="3">
        <v>4199.22</v>
      </c>
      <c r="R55" s="3">
        <f t="shared" si="4"/>
        <v>281347.74</v>
      </c>
      <c r="S55" s="4">
        <f t="shared" si="5"/>
        <v>281347.74</v>
      </c>
      <c r="T55" s="4">
        <f t="shared" si="6"/>
        <v>14067</v>
      </c>
      <c r="U55" s="5">
        <f t="shared" si="7"/>
        <v>295414.74</v>
      </c>
    </row>
    <row r="56" spans="1:32" ht="16.5" x14ac:dyDescent="0.25">
      <c r="A56" s="50" t="s">
        <v>20</v>
      </c>
      <c r="B56" s="29"/>
      <c r="C56" s="29"/>
      <c r="D56" s="29"/>
      <c r="E56" s="29"/>
      <c r="F56" s="29"/>
      <c r="G56" s="29"/>
      <c r="H56" s="29"/>
      <c r="I56" s="29"/>
      <c r="J56" s="29"/>
      <c r="L56" s="6">
        <v>46015</v>
      </c>
      <c r="M56" s="2" t="s">
        <v>1145</v>
      </c>
      <c r="N56" s="67" t="s">
        <v>790</v>
      </c>
      <c r="O56" s="13" t="s">
        <v>14</v>
      </c>
      <c r="P56" s="2">
        <v>1</v>
      </c>
      <c r="Q56" s="3">
        <v>4700</v>
      </c>
      <c r="R56" s="3">
        <f t="shared" si="4"/>
        <v>4700</v>
      </c>
      <c r="S56" s="4">
        <f t="shared" si="5"/>
        <v>4700</v>
      </c>
      <c r="T56" s="4">
        <f t="shared" si="6"/>
        <v>235</v>
      </c>
      <c r="U56" s="5">
        <f t="shared" si="7"/>
        <v>4935</v>
      </c>
    </row>
    <row r="57" spans="1:32" x14ac:dyDescent="0.25">
      <c r="A57" s="1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3" t="s">
        <v>6</v>
      </c>
      <c r="G57" s="3" t="s">
        <v>7</v>
      </c>
      <c r="H57" s="4" t="s">
        <v>12</v>
      </c>
      <c r="I57" s="4" t="s">
        <v>9</v>
      </c>
      <c r="J57" s="4" t="s">
        <v>13</v>
      </c>
      <c r="L57" s="1"/>
      <c r="M57" s="2" t="s">
        <v>1146</v>
      </c>
      <c r="N57" s="2"/>
      <c r="O57" s="2"/>
      <c r="P57" s="2"/>
      <c r="Q57" s="3"/>
      <c r="R57" s="3">
        <f t="shared" si="4"/>
        <v>0</v>
      </c>
      <c r="S57" s="4">
        <f t="shared" si="5"/>
        <v>0</v>
      </c>
      <c r="T57" s="4">
        <f t="shared" si="6"/>
        <v>0</v>
      </c>
      <c r="U57" s="5">
        <f t="shared" si="7"/>
        <v>0</v>
      </c>
    </row>
    <row r="58" spans="1:32" ht="16.5" x14ac:dyDescent="0.25">
      <c r="A58" s="6">
        <v>46006</v>
      </c>
      <c r="B58" s="2" t="s">
        <v>1051</v>
      </c>
      <c r="C58" s="2"/>
      <c r="D58" s="67" t="s">
        <v>14</v>
      </c>
      <c r="E58" s="2">
        <v>15</v>
      </c>
      <c r="F58" s="3">
        <v>2366</v>
      </c>
      <c r="G58" s="3">
        <f t="shared" ref="G58:G61" si="15">E58*F58</f>
        <v>35490</v>
      </c>
      <c r="H58" s="4">
        <f t="shared" ref="H58:H61" si="16">G58</f>
        <v>35490</v>
      </c>
      <c r="I58" s="12">
        <f>H58-ROUND(H58/1.05,0)</f>
        <v>1690</v>
      </c>
      <c r="J58" s="4"/>
      <c r="L58" s="1"/>
      <c r="M58" s="2" t="s">
        <v>1147</v>
      </c>
      <c r="N58" s="2"/>
      <c r="O58" s="2"/>
      <c r="P58" s="2"/>
      <c r="Q58" s="3"/>
      <c r="R58" s="3">
        <f t="shared" si="4"/>
        <v>0</v>
      </c>
      <c r="S58" s="4">
        <f t="shared" si="5"/>
        <v>0</v>
      </c>
      <c r="T58" s="4">
        <f t="shared" si="6"/>
        <v>0</v>
      </c>
      <c r="U58" s="5">
        <f t="shared" si="7"/>
        <v>0</v>
      </c>
    </row>
    <row r="59" spans="1:32" x14ac:dyDescent="0.25">
      <c r="A59" s="6"/>
      <c r="B59" s="2" t="s">
        <v>1052</v>
      </c>
      <c r="C59" s="2"/>
      <c r="D59" s="2"/>
      <c r="E59" s="2"/>
      <c r="F59" s="3"/>
      <c r="G59" s="3">
        <f t="shared" si="15"/>
        <v>0</v>
      </c>
      <c r="H59" s="4">
        <f t="shared" si="16"/>
        <v>0</v>
      </c>
      <c r="I59" s="12">
        <f t="shared" ref="I59:I61" si="17">H59-ROUND(H59/1.05,0)</f>
        <v>0</v>
      </c>
      <c r="J59" s="4"/>
      <c r="L59" s="1"/>
      <c r="M59" s="2" t="s">
        <v>1148</v>
      </c>
      <c r="N59" s="2"/>
      <c r="O59" s="2"/>
      <c r="P59" s="2"/>
      <c r="Q59" s="3"/>
      <c r="R59" s="3">
        <f t="shared" si="4"/>
        <v>0</v>
      </c>
      <c r="S59" s="4">
        <f t="shared" si="5"/>
        <v>0</v>
      </c>
      <c r="T59" s="4">
        <f t="shared" si="6"/>
        <v>0</v>
      </c>
      <c r="U59" s="5">
        <f t="shared" si="7"/>
        <v>0</v>
      </c>
    </row>
    <row r="60" spans="1:32" x14ac:dyDescent="0.25">
      <c r="A60" s="1"/>
      <c r="B60" s="2" t="s">
        <v>1053</v>
      </c>
      <c r="C60" s="2"/>
      <c r="D60" s="2"/>
      <c r="E60" s="2"/>
      <c r="F60" s="3"/>
      <c r="G60" s="3">
        <f t="shared" si="15"/>
        <v>0</v>
      </c>
      <c r="H60" s="4">
        <f t="shared" si="16"/>
        <v>0</v>
      </c>
      <c r="I60" s="12">
        <f t="shared" si="17"/>
        <v>0</v>
      </c>
      <c r="J60" s="4"/>
      <c r="L60" s="1"/>
      <c r="M60" s="2" t="s">
        <v>1149</v>
      </c>
      <c r="N60" s="2"/>
      <c r="O60" s="2"/>
      <c r="P60" s="2"/>
      <c r="Q60" s="3"/>
      <c r="R60" s="3">
        <f t="shared" si="4"/>
        <v>0</v>
      </c>
      <c r="S60" s="4">
        <f t="shared" si="5"/>
        <v>0</v>
      </c>
      <c r="T60" s="4">
        <f t="shared" si="6"/>
        <v>0</v>
      </c>
      <c r="U60" s="5">
        <f t="shared" si="7"/>
        <v>0</v>
      </c>
    </row>
    <row r="61" spans="1:32" ht="16.5" thickBot="1" x14ac:dyDescent="0.3">
      <c r="A61" s="1"/>
      <c r="B61" s="2" t="s">
        <v>1054</v>
      </c>
      <c r="C61" s="2"/>
      <c r="D61" s="2"/>
      <c r="E61" s="2"/>
      <c r="F61" s="3"/>
      <c r="G61" s="3">
        <f t="shared" si="15"/>
        <v>0</v>
      </c>
      <c r="H61" s="4">
        <f t="shared" si="16"/>
        <v>0</v>
      </c>
      <c r="I61" s="12">
        <f t="shared" si="17"/>
        <v>0</v>
      </c>
      <c r="J61" s="4"/>
      <c r="L61" s="7"/>
      <c r="M61" s="2" t="s">
        <v>1150</v>
      </c>
      <c r="N61" s="8"/>
      <c r="O61" s="8"/>
      <c r="P61" s="8"/>
      <c r="Q61" s="9"/>
      <c r="R61" s="9">
        <f t="shared" si="4"/>
        <v>0</v>
      </c>
      <c r="S61" s="10">
        <f t="shared" si="5"/>
        <v>0</v>
      </c>
      <c r="T61" s="10">
        <f t="shared" si="6"/>
        <v>0</v>
      </c>
      <c r="U61" s="11">
        <f t="shared" si="7"/>
        <v>0</v>
      </c>
    </row>
    <row r="62" spans="1:32" x14ac:dyDescent="0.25">
      <c r="T62" s="14">
        <f>SUM(T3:T61)</f>
        <v>160871</v>
      </c>
    </row>
  </sheetData>
  <mergeCells count="58">
    <mergeCell ref="J15:J16"/>
    <mergeCell ref="A15:A16"/>
    <mergeCell ref="B15:B16"/>
    <mergeCell ref="C15:C16"/>
    <mergeCell ref="H15:H16"/>
    <mergeCell ref="I15:I16"/>
    <mergeCell ref="U41:U42"/>
    <mergeCell ref="L52:L53"/>
    <mergeCell ref="M52:M53"/>
    <mergeCell ref="N52:N53"/>
    <mergeCell ref="S52:S53"/>
    <mergeCell ref="T52:T53"/>
    <mergeCell ref="U52:U53"/>
    <mergeCell ref="L41:L42"/>
    <mergeCell ref="M41:M42"/>
    <mergeCell ref="N41:N42"/>
    <mergeCell ref="S41:S42"/>
    <mergeCell ref="T41:T42"/>
    <mergeCell ref="U29:U30"/>
    <mergeCell ref="L31:L32"/>
    <mergeCell ref="M31:M32"/>
    <mergeCell ref="N31:N32"/>
    <mergeCell ref="S31:S32"/>
    <mergeCell ref="T31:T32"/>
    <mergeCell ref="U31:U32"/>
    <mergeCell ref="U4:U7"/>
    <mergeCell ref="A1:J1"/>
    <mergeCell ref="L1:U1"/>
    <mergeCell ref="W1:AF1"/>
    <mergeCell ref="A56:J56"/>
    <mergeCell ref="A5:A6"/>
    <mergeCell ref="B5:B6"/>
    <mergeCell ref="C5:C6"/>
    <mergeCell ref="H5:H6"/>
    <mergeCell ref="I5:I6"/>
    <mergeCell ref="J5:J6"/>
    <mergeCell ref="L29:L30"/>
    <mergeCell ref="M29:M30"/>
    <mergeCell ref="N29:N30"/>
    <mergeCell ref="S29:S30"/>
    <mergeCell ref="T29:T30"/>
    <mergeCell ref="M4:M7"/>
    <mergeCell ref="L4:L7"/>
    <mergeCell ref="N4:N7"/>
    <mergeCell ref="S4:S7"/>
    <mergeCell ref="T4:T7"/>
    <mergeCell ref="U16:U17"/>
    <mergeCell ref="L11:L12"/>
    <mergeCell ref="M11:M12"/>
    <mergeCell ref="N11:N12"/>
    <mergeCell ref="S11:S12"/>
    <mergeCell ref="T11:T12"/>
    <mergeCell ref="U11:U12"/>
    <mergeCell ref="L16:L17"/>
    <mergeCell ref="M16:M17"/>
    <mergeCell ref="N16:N17"/>
    <mergeCell ref="S16:S17"/>
    <mergeCell ref="T16:T17"/>
  </mergeCells>
  <phoneticPr fontId="4" type="noConversion"/>
  <printOptions horizontalCentered="1"/>
  <pageMargins left="3.937007874015748E-2" right="3.937007874015748E-2" top="3.937007874015748E-2" bottom="3.937007874015748E-2" header="3.937007874015748E-2" footer="3.937007874015748E-2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EEC4-43EA-4DF2-BC4D-256DED270506}">
  <sheetPr>
    <pageSetUpPr fitToPage="1"/>
  </sheetPr>
  <dimension ref="A1:AF66"/>
  <sheetViews>
    <sheetView topLeftCell="M1" workbookViewId="0">
      <selection activeCell="W1" sqref="W1:AF1"/>
    </sheetView>
  </sheetViews>
  <sheetFormatPr defaultRowHeight="15.75" x14ac:dyDescent="0.25"/>
  <cols>
    <col min="1" max="1" width="9.375" bestFit="1" customWidth="1"/>
    <col min="2" max="2" width="11.75" bestFit="1" customWidth="1"/>
    <col min="6" max="6" width="9.625" bestFit="1" customWidth="1"/>
    <col min="7" max="7" width="13.375" bestFit="1" customWidth="1"/>
    <col min="8" max="8" width="10.75" bestFit="1" customWidth="1"/>
    <col min="9" max="9" width="9.125" bestFit="1" customWidth="1"/>
    <col min="10" max="10" width="10.75" bestFit="1" customWidth="1"/>
    <col min="12" max="12" width="9.375" bestFit="1" customWidth="1"/>
    <col min="13" max="13" width="11.625" bestFit="1" customWidth="1"/>
    <col min="15" max="15" width="11.5" bestFit="1" customWidth="1"/>
    <col min="17" max="17" width="10.75" bestFit="1" customWidth="1"/>
    <col min="18" max="18" width="11.75" bestFit="1" customWidth="1"/>
    <col min="19" max="19" width="9.125" bestFit="1" customWidth="1"/>
    <col min="23" max="23" width="9.375" bestFit="1" customWidth="1"/>
    <col min="24" max="24" width="11.625" bestFit="1" customWidth="1"/>
    <col min="28" max="28" width="9.625" bestFit="1" customWidth="1"/>
    <col min="29" max="29" width="11.75" bestFit="1" customWidth="1"/>
    <col min="30" max="31" width="9.125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6">
        <v>45901</v>
      </c>
      <c r="B3" s="2" t="s">
        <v>866</v>
      </c>
      <c r="C3" s="13" t="s">
        <v>126</v>
      </c>
      <c r="D3" s="13" t="s">
        <v>14</v>
      </c>
      <c r="E3" s="2">
        <v>650</v>
      </c>
      <c r="F3" s="3">
        <f>G3/E3</f>
        <v>2647.543076923077</v>
      </c>
      <c r="G3" s="3">
        <v>1720903</v>
      </c>
      <c r="H3" s="4">
        <f t="shared" ref="H3:H55" si="0">G3</f>
        <v>1720903</v>
      </c>
      <c r="I3" s="4">
        <f t="shared" ref="I3:I55" si="1">ROUND(H3*0.05,0)</f>
        <v>86045</v>
      </c>
      <c r="J3" s="5">
        <f t="shared" ref="J3:J55" si="2">H3+I3</f>
        <v>1806948</v>
      </c>
      <c r="L3" s="6">
        <v>45901</v>
      </c>
      <c r="M3" s="2" t="s">
        <v>825</v>
      </c>
      <c r="N3" s="13" t="s">
        <v>970</v>
      </c>
      <c r="O3" s="13" t="s">
        <v>14</v>
      </c>
      <c r="P3" s="2">
        <v>1</v>
      </c>
      <c r="Q3" s="3">
        <v>5800</v>
      </c>
      <c r="R3" s="3">
        <f t="shared" ref="R3:R65" si="3">P3*Q3</f>
        <v>5800</v>
      </c>
      <c r="S3" s="4">
        <f t="shared" ref="S3:S65" si="4">R3</f>
        <v>5800</v>
      </c>
      <c r="T3" s="4">
        <f t="shared" ref="T3:T65" si="5">ROUND(S3*0.05,0)</f>
        <v>290</v>
      </c>
      <c r="U3" s="5">
        <f t="shared" ref="U3:U65" si="6">S3+T3</f>
        <v>6090</v>
      </c>
      <c r="W3" s="6">
        <v>45901</v>
      </c>
      <c r="X3" s="2" t="s">
        <v>914</v>
      </c>
      <c r="Y3" s="13" t="s">
        <v>73</v>
      </c>
      <c r="Z3" s="13" t="s">
        <v>14</v>
      </c>
      <c r="AA3" s="2">
        <v>167</v>
      </c>
      <c r="AB3" s="3">
        <v>2238.92</v>
      </c>
      <c r="AC3" s="3">
        <f t="shared" ref="AC3:AC52" si="7">AA3*AB3</f>
        <v>373899.64</v>
      </c>
      <c r="AD3" s="4">
        <f t="shared" ref="AD3:AD52" si="8">AC3</f>
        <v>373899.64</v>
      </c>
      <c r="AE3" s="4">
        <f t="shared" ref="AE3:AE52" si="9">ROUND(AD3*0.05,0)</f>
        <v>18695</v>
      </c>
      <c r="AF3" s="5">
        <f t="shared" ref="AF3:AF52" si="10">AD3+AE3</f>
        <v>392594.64</v>
      </c>
    </row>
    <row r="4" spans="1:32" x14ac:dyDescent="0.25">
      <c r="A4" s="6">
        <v>45901</v>
      </c>
      <c r="B4" s="2" t="s">
        <v>867</v>
      </c>
      <c r="C4" s="13" t="s">
        <v>127</v>
      </c>
      <c r="D4" s="13" t="s">
        <v>14</v>
      </c>
      <c r="E4" s="2">
        <v>9</v>
      </c>
      <c r="F4" s="3">
        <v>2408.33</v>
      </c>
      <c r="G4" s="3">
        <f t="shared" ref="G4:G55" si="11">E4*F4</f>
        <v>21674.97</v>
      </c>
      <c r="H4" s="4">
        <f t="shared" si="0"/>
        <v>21674.97</v>
      </c>
      <c r="I4" s="4">
        <f t="shared" si="1"/>
        <v>1084</v>
      </c>
      <c r="J4" s="5">
        <f t="shared" si="2"/>
        <v>22758.97</v>
      </c>
      <c r="L4" s="17" t="s">
        <v>187</v>
      </c>
      <c r="M4" s="2" t="s">
        <v>826</v>
      </c>
      <c r="N4" s="2"/>
      <c r="O4" s="2"/>
      <c r="P4" s="2"/>
      <c r="Q4" s="3"/>
      <c r="R4" s="3">
        <f t="shared" si="3"/>
        <v>0</v>
      </c>
      <c r="S4" s="4">
        <f t="shared" si="4"/>
        <v>0</v>
      </c>
      <c r="T4" s="4">
        <f t="shared" si="5"/>
        <v>0</v>
      </c>
      <c r="U4" s="5">
        <f t="shared" si="6"/>
        <v>0</v>
      </c>
      <c r="W4" s="6">
        <v>45910</v>
      </c>
      <c r="X4" s="2" t="s">
        <v>915</v>
      </c>
      <c r="Y4" s="13" t="s">
        <v>383</v>
      </c>
      <c r="Z4" s="13" t="s">
        <v>14</v>
      </c>
      <c r="AA4" s="2">
        <v>44</v>
      </c>
      <c r="AB4" s="3">
        <v>2459.09</v>
      </c>
      <c r="AC4" s="3">
        <f t="shared" si="7"/>
        <v>108199.96</v>
      </c>
      <c r="AD4" s="4">
        <f t="shared" si="8"/>
        <v>108199.96</v>
      </c>
      <c r="AE4" s="4">
        <f t="shared" si="9"/>
        <v>5410</v>
      </c>
      <c r="AF4" s="5">
        <f t="shared" si="10"/>
        <v>113609.96</v>
      </c>
    </row>
    <row r="5" spans="1:32" x14ac:dyDescent="0.25">
      <c r="A5" s="6">
        <v>45901</v>
      </c>
      <c r="B5" s="2" t="s">
        <v>868</v>
      </c>
      <c r="C5" s="13" t="s">
        <v>128</v>
      </c>
      <c r="D5" s="13" t="s">
        <v>15</v>
      </c>
      <c r="E5" s="2">
        <v>70</v>
      </c>
      <c r="F5" s="3">
        <v>120</v>
      </c>
      <c r="G5" s="3">
        <f t="shared" si="11"/>
        <v>8400</v>
      </c>
      <c r="H5" s="4">
        <f t="shared" si="0"/>
        <v>8400</v>
      </c>
      <c r="I5" s="4">
        <f t="shared" si="1"/>
        <v>420</v>
      </c>
      <c r="J5" s="5">
        <f t="shared" si="2"/>
        <v>8820</v>
      </c>
      <c r="L5" s="17" t="s">
        <v>187</v>
      </c>
      <c r="M5" s="2" t="s">
        <v>827</v>
      </c>
      <c r="N5" s="2"/>
      <c r="O5" s="2"/>
      <c r="P5" s="2"/>
      <c r="Q5" s="3"/>
      <c r="R5" s="3">
        <f t="shared" si="3"/>
        <v>0</v>
      </c>
      <c r="S5" s="4">
        <f t="shared" si="4"/>
        <v>0</v>
      </c>
      <c r="T5" s="4">
        <f t="shared" si="5"/>
        <v>0</v>
      </c>
      <c r="U5" s="5">
        <f t="shared" si="6"/>
        <v>0</v>
      </c>
      <c r="W5" s="6">
        <v>45917</v>
      </c>
      <c r="X5" s="2" t="s">
        <v>916</v>
      </c>
      <c r="Y5" s="13" t="s">
        <v>75</v>
      </c>
      <c r="Z5" s="13" t="s">
        <v>14</v>
      </c>
      <c r="AA5" s="2">
        <v>41</v>
      </c>
      <c r="AB5" s="3">
        <v>3575.61</v>
      </c>
      <c r="AC5" s="3">
        <f t="shared" si="7"/>
        <v>146600.01</v>
      </c>
      <c r="AD5" s="4">
        <f t="shared" si="8"/>
        <v>146600.01</v>
      </c>
      <c r="AE5" s="4">
        <f t="shared" si="9"/>
        <v>7330</v>
      </c>
      <c r="AF5" s="5">
        <f t="shared" si="10"/>
        <v>153930.01</v>
      </c>
    </row>
    <row r="6" spans="1:32" x14ac:dyDescent="0.25">
      <c r="A6" s="1"/>
      <c r="B6" s="2" t="s">
        <v>869</v>
      </c>
      <c r="C6" s="2"/>
      <c r="D6" s="2"/>
      <c r="E6" s="2"/>
      <c r="F6" s="3"/>
      <c r="G6" s="3">
        <f t="shared" si="11"/>
        <v>0</v>
      </c>
      <c r="H6" s="4">
        <f t="shared" si="0"/>
        <v>0</v>
      </c>
      <c r="I6" s="4">
        <f t="shared" si="1"/>
        <v>0</v>
      </c>
      <c r="J6" s="5">
        <f t="shared" si="2"/>
        <v>0</v>
      </c>
      <c r="L6" s="31">
        <v>45901</v>
      </c>
      <c r="M6" s="34" t="s">
        <v>971</v>
      </c>
      <c r="N6" s="37" t="s">
        <v>173</v>
      </c>
      <c r="O6" s="13" t="s">
        <v>14</v>
      </c>
      <c r="P6" s="2">
        <v>15</v>
      </c>
      <c r="Q6" s="3">
        <v>3280</v>
      </c>
      <c r="R6" s="4">
        <f t="shared" si="3"/>
        <v>49200</v>
      </c>
      <c r="S6" s="38">
        <f>R6+R7+R8</f>
        <v>68632.02</v>
      </c>
      <c r="T6" s="38">
        <f t="shared" si="5"/>
        <v>3432</v>
      </c>
      <c r="U6" s="41">
        <f t="shared" si="6"/>
        <v>72064.02</v>
      </c>
      <c r="W6" s="6">
        <v>45917</v>
      </c>
      <c r="X6" s="2" t="s">
        <v>917</v>
      </c>
      <c r="Y6" s="13" t="s">
        <v>383</v>
      </c>
      <c r="Z6" s="13" t="s">
        <v>14</v>
      </c>
      <c r="AA6" s="2">
        <v>180</v>
      </c>
      <c r="AB6" s="3">
        <v>2328.61</v>
      </c>
      <c r="AC6" s="3">
        <f t="shared" si="7"/>
        <v>419149.80000000005</v>
      </c>
      <c r="AD6" s="4">
        <v>419150</v>
      </c>
      <c r="AE6" s="4">
        <f t="shared" si="9"/>
        <v>20958</v>
      </c>
      <c r="AF6" s="5">
        <f t="shared" si="10"/>
        <v>440108</v>
      </c>
    </row>
    <row r="7" spans="1:32" x14ac:dyDescent="0.25">
      <c r="A7" s="1"/>
      <c r="B7" s="2" t="s">
        <v>870</v>
      </c>
      <c r="C7" s="2"/>
      <c r="D7" s="2"/>
      <c r="E7" s="2"/>
      <c r="F7" s="3"/>
      <c r="G7" s="3">
        <f t="shared" si="11"/>
        <v>0</v>
      </c>
      <c r="H7" s="4">
        <f t="shared" si="0"/>
        <v>0</v>
      </c>
      <c r="I7" s="4">
        <f t="shared" si="1"/>
        <v>0</v>
      </c>
      <c r="J7" s="5">
        <f t="shared" si="2"/>
        <v>0</v>
      </c>
      <c r="L7" s="32"/>
      <c r="M7" s="35"/>
      <c r="N7" s="35"/>
      <c r="O7" s="13" t="s">
        <v>16</v>
      </c>
      <c r="P7" s="2">
        <v>6</v>
      </c>
      <c r="Q7" s="3">
        <v>2789.17</v>
      </c>
      <c r="R7" s="4">
        <f t="shared" si="3"/>
        <v>16735.02</v>
      </c>
      <c r="S7" s="39"/>
      <c r="T7" s="39"/>
      <c r="U7" s="42"/>
      <c r="W7" s="6">
        <v>45922</v>
      </c>
      <c r="X7" s="2" t="s">
        <v>918</v>
      </c>
      <c r="Y7" s="13" t="s">
        <v>74</v>
      </c>
      <c r="Z7" s="13" t="s">
        <v>14</v>
      </c>
      <c r="AA7" s="2">
        <v>103</v>
      </c>
      <c r="AB7" s="3">
        <v>2129.13</v>
      </c>
      <c r="AC7" s="3">
        <f t="shared" si="7"/>
        <v>219300.39</v>
      </c>
      <c r="AD7" s="4">
        <f t="shared" si="8"/>
        <v>219300.39</v>
      </c>
      <c r="AE7" s="4">
        <f t="shared" si="9"/>
        <v>10965</v>
      </c>
      <c r="AF7" s="5">
        <f t="shared" si="10"/>
        <v>230265.39</v>
      </c>
    </row>
    <row r="8" spans="1:32" x14ac:dyDescent="0.25">
      <c r="A8" s="1"/>
      <c r="B8" s="2" t="s">
        <v>871</v>
      </c>
      <c r="C8" s="2"/>
      <c r="D8" s="2"/>
      <c r="E8" s="2"/>
      <c r="F8" s="3"/>
      <c r="G8" s="3">
        <f t="shared" si="11"/>
        <v>0</v>
      </c>
      <c r="H8" s="4">
        <f t="shared" si="0"/>
        <v>0</v>
      </c>
      <c r="I8" s="4">
        <f t="shared" si="1"/>
        <v>0</v>
      </c>
      <c r="J8" s="5">
        <f t="shared" si="2"/>
        <v>0</v>
      </c>
      <c r="L8" s="33"/>
      <c r="M8" s="36"/>
      <c r="N8" s="36"/>
      <c r="O8" s="13" t="s">
        <v>15</v>
      </c>
      <c r="P8" s="2">
        <v>4</v>
      </c>
      <c r="Q8" s="3">
        <v>674.25</v>
      </c>
      <c r="R8" s="4">
        <f t="shared" si="3"/>
        <v>2697</v>
      </c>
      <c r="S8" s="40"/>
      <c r="T8" s="40"/>
      <c r="U8" s="43"/>
      <c r="W8" s="6">
        <v>45931</v>
      </c>
      <c r="X8" s="2" t="s">
        <v>919</v>
      </c>
      <c r="Y8" s="13" t="s">
        <v>383</v>
      </c>
      <c r="Z8" s="13" t="s">
        <v>14</v>
      </c>
      <c r="AA8" s="2">
        <v>72</v>
      </c>
      <c r="AB8" s="3">
        <v>2277.08</v>
      </c>
      <c r="AC8" s="3">
        <f t="shared" si="7"/>
        <v>163949.76000000001</v>
      </c>
      <c r="AD8" s="4">
        <v>163950</v>
      </c>
      <c r="AE8" s="4">
        <f t="shared" si="9"/>
        <v>8198</v>
      </c>
      <c r="AF8" s="5">
        <f t="shared" si="10"/>
        <v>172148</v>
      </c>
    </row>
    <row r="9" spans="1:32" x14ac:dyDescent="0.25">
      <c r="A9" s="31">
        <v>45904</v>
      </c>
      <c r="B9" s="34" t="s">
        <v>968</v>
      </c>
      <c r="C9" s="37" t="s">
        <v>417</v>
      </c>
      <c r="D9" s="13" t="s">
        <v>14</v>
      </c>
      <c r="E9" s="2">
        <v>4</v>
      </c>
      <c r="F9" s="3">
        <v>4000</v>
      </c>
      <c r="G9" s="16">
        <f t="shared" si="11"/>
        <v>16000</v>
      </c>
      <c r="H9" s="38">
        <f>G9+G10</f>
        <v>19300</v>
      </c>
      <c r="I9" s="38">
        <f t="shared" si="1"/>
        <v>965</v>
      </c>
      <c r="J9" s="41">
        <f t="shared" si="2"/>
        <v>20265</v>
      </c>
      <c r="L9" s="6">
        <v>45901</v>
      </c>
      <c r="M9" s="2" t="s">
        <v>828</v>
      </c>
      <c r="N9" s="13" t="s">
        <v>607</v>
      </c>
      <c r="O9" s="13" t="s">
        <v>14</v>
      </c>
      <c r="P9" s="2">
        <v>1</v>
      </c>
      <c r="Q9" s="3">
        <v>4400</v>
      </c>
      <c r="R9" s="3">
        <f t="shared" si="3"/>
        <v>4400</v>
      </c>
      <c r="S9" s="4">
        <f t="shared" si="4"/>
        <v>4400</v>
      </c>
      <c r="T9" s="4">
        <f t="shared" si="5"/>
        <v>220</v>
      </c>
      <c r="U9" s="5">
        <f t="shared" si="6"/>
        <v>4620</v>
      </c>
      <c r="W9" s="6">
        <v>45931</v>
      </c>
      <c r="X9" s="2" t="s">
        <v>920</v>
      </c>
      <c r="Y9" s="13" t="s">
        <v>999</v>
      </c>
      <c r="Z9" s="13" t="s">
        <v>15</v>
      </c>
      <c r="AA9" s="2">
        <v>21</v>
      </c>
      <c r="AB9" s="3">
        <v>300</v>
      </c>
      <c r="AC9" s="3">
        <f t="shared" si="7"/>
        <v>6300</v>
      </c>
      <c r="AD9" s="4">
        <f t="shared" si="8"/>
        <v>6300</v>
      </c>
      <c r="AE9" s="4">
        <f t="shared" si="9"/>
        <v>315</v>
      </c>
      <c r="AF9" s="5">
        <f t="shared" si="10"/>
        <v>6615</v>
      </c>
    </row>
    <row r="10" spans="1:32" x14ac:dyDescent="0.25">
      <c r="A10" s="33"/>
      <c r="B10" s="36"/>
      <c r="C10" s="36"/>
      <c r="D10" s="13" t="s">
        <v>15</v>
      </c>
      <c r="E10" s="2">
        <v>6</v>
      </c>
      <c r="F10" s="3">
        <v>550</v>
      </c>
      <c r="G10" s="16">
        <f t="shared" si="11"/>
        <v>3300</v>
      </c>
      <c r="H10" s="40"/>
      <c r="I10" s="40"/>
      <c r="J10" s="43"/>
      <c r="L10" s="31">
        <v>45901</v>
      </c>
      <c r="M10" s="34" t="s">
        <v>972</v>
      </c>
      <c r="N10" s="37" t="s">
        <v>181</v>
      </c>
      <c r="O10" s="13" t="s">
        <v>14</v>
      </c>
      <c r="P10" s="2">
        <v>1</v>
      </c>
      <c r="Q10" s="3">
        <v>5535</v>
      </c>
      <c r="R10" s="16">
        <f t="shared" si="3"/>
        <v>5535</v>
      </c>
      <c r="S10" s="38">
        <f>R10+R11</f>
        <v>8635</v>
      </c>
      <c r="T10" s="38">
        <f t="shared" si="5"/>
        <v>432</v>
      </c>
      <c r="U10" s="41">
        <f t="shared" si="6"/>
        <v>9067</v>
      </c>
      <c r="W10" s="6">
        <v>45931</v>
      </c>
      <c r="X10" s="2" t="s">
        <v>921</v>
      </c>
      <c r="Y10" s="13" t="s">
        <v>73</v>
      </c>
      <c r="Z10" s="13" t="s">
        <v>14</v>
      </c>
      <c r="AA10" s="2">
        <v>27</v>
      </c>
      <c r="AB10" s="3">
        <v>2259.2600000000002</v>
      </c>
      <c r="AC10" s="3">
        <f t="shared" si="7"/>
        <v>61000.020000000004</v>
      </c>
      <c r="AD10" s="4">
        <f t="shared" si="8"/>
        <v>61000.020000000004</v>
      </c>
      <c r="AE10" s="4">
        <f t="shared" si="9"/>
        <v>3050</v>
      </c>
      <c r="AF10" s="5">
        <f t="shared" si="10"/>
        <v>64050.020000000004</v>
      </c>
    </row>
    <row r="11" spans="1:32" x14ac:dyDescent="0.25">
      <c r="A11" s="6">
        <v>45909</v>
      </c>
      <c r="B11" s="2" t="s">
        <v>872</v>
      </c>
      <c r="C11" s="13" t="s">
        <v>125</v>
      </c>
      <c r="D11" s="13" t="s">
        <v>14</v>
      </c>
      <c r="E11" s="2">
        <v>45</v>
      </c>
      <c r="F11" s="3">
        <v>3724.87</v>
      </c>
      <c r="G11" s="3">
        <f t="shared" si="11"/>
        <v>167619.15</v>
      </c>
      <c r="H11" s="4">
        <f t="shared" si="0"/>
        <v>167619.15</v>
      </c>
      <c r="I11" s="4">
        <f t="shared" si="1"/>
        <v>8381</v>
      </c>
      <c r="J11" s="5">
        <f t="shared" si="2"/>
        <v>176000.15</v>
      </c>
      <c r="L11" s="33"/>
      <c r="M11" s="36"/>
      <c r="N11" s="36"/>
      <c r="O11" s="13" t="s">
        <v>16</v>
      </c>
      <c r="P11" s="2">
        <v>1</v>
      </c>
      <c r="Q11" s="3">
        <v>3100</v>
      </c>
      <c r="R11" s="16">
        <f t="shared" si="3"/>
        <v>3100</v>
      </c>
      <c r="S11" s="40"/>
      <c r="T11" s="40"/>
      <c r="U11" s="43"/>
      <c r="W11" s="6">
        <v>45943</v>
      </c>
      <c r="X11" s="2" t="s">
        <v>922</v>
      </c>
      <c r="Y11" s="13" t="s">
        <v>1000</v>
      </c>
      <c r="Z11" s="13" t="s">
        <v>14</v>
      </c>
      <c r="AA11" s="2">
        <v>31</v>
      </c>
      <c r="AB11" s="3">
        <v>3700.32</v>
      </c>
      <c r="AC11" s="3">
        <f t="shared" si="7"/>
        <v>114709.92</v>
      </c>
      <c r="AD11" s="4">
        <v>114710</v>
      </c>
      <c r="AE11" s="4">
        <f t="shared" si="9"/>
        <v>5736</v>
      </c>
      <c r="AF11" s="5">
        <f t="shared" si="10"/>
        <v>120446</v>
      </c>
    </row>
    <row r="12" spans="1:32" x14ac:dyDescent="0.25">
      <c r="A12" s="31">
        <v>45911</v>
      </c>
      <c r="B12" s="34" t="s">
        <v>969</v>
      </c>
      <c r="C12" s="37" t="s">
        <v>199</v>
      </c>
      <c r="D12" s="13" t="s">
        <v>14</v>
      </c>
      <c r="E12" s="2">
        <v>10</v>
      </c>
      <c r="F12" s="3">
        <v>2600</v>
      </c>
      <c r="G12" s="4">
        <f t="shared" si="11"/>
        <v>26000</v>
      </c>
      <c r="H12" s="38">
        <f>G12+G13+G14</f>
        <v>32900</v>
      </c>
      <c r="I12" s="38">
        <f t="shared" si="1"/>
        <v>1645</v>
      </c>
      <c r="J12" s="41">
        <f t="shared" si="2"/>
        <v>34545</v>
      </c>
      <c r="L12" s="6">
        <v>45901</v>
      </c>
      <c r="M12" s="2" t="s">
        <v>829</v>
      </c>
      <c r="N12" s="13" t="s">
        <v>973</v>
      </c>
      <c r="O12" s="13" t="s">
        <v>14</v>
      </c>
      <c r="P12" s="2">
        <v>1</v>
      </c>
      <c r="Q12" s="3">
        <v>3100</v>
      </c>
      <c r="R12" s="3">
        <f t="shared" si="3"/>
        <v>3100</v>
      </c>
      <c r="S12" s="4">
        <f t="shared" si="4"/>
        <v>3100</v>
      </c>
      <c r="T12" s="4">
        <f t="shared" si="5"/>
        <v>155</v>
      </c>
      <c r="U12" s="5">
        <f t="shared" si="6"/>
        <v>3255</v>
      </c>
      <c r="W12" s="6">
        <v>45947</v>
      </c>
      <c r="X12" s="2" t="s">
        <v>923</v>
      </c>
      <c r="Y12" s="13" t="s">
        <v>74</v>
      </c>
      <c r="Z12" s="13" t="s">
        <v>14</v>
      </c>
      <c r="AA12" s="2">
        <v>122</v>
      </c>
      <c r="AB12" s="3">
        <v>2036.15</v>
      </c>
      <c r="AC12" s="3">
        <f t="shared" si="7"/>
        <v>248410.30000000002</v>
      </c>
      <c r="AD12" s="4">
        <f t="shared" si="8"/>
        <v>248410.30000000002</v>
      </c>
      <c r="AE12" s="4">
        <f t="shared" si="9"/>
        <v>12421</v>
      </c>
      <c r="AF12" s="5">
        <f t="shared" si="10"/>
        <v>260831.30000000002</v>
      </c>
    </row>
    <row r="13" spans="1:32" x14ac:dyDescent="0.25">
      <c r="A13" s="32"/>
      <c r="B13" s="35"/>
      <c r="C13" s="35"/>
      <c r="D13" s="13" t="s">
        <v>16</v>
      </c>
      <c r="E13" s="2">
        <v>3</v>
      </c>
      <c r="F13" s="3">
        <v>1800</v>
      </c>
      <c r="G13" s="4">
        <f t="shared" si="11"/>
        <v>5400</v>
      </c>
      <c r="H13" s="39"/>
      <c r="I13" s="39"/>
      <c r="J13" s="42"/>
      <c r="L13" s="6">
        <v>45901</v>
      </c>
      <c r="M13" s="2" t="s">
        <v>830</v>
      </c>
      <c r="N13" s="13" t="s">
        <v>188</v>
      </c>
      <c r="O13" s="13" t="s">
        <v>15</v>
      </c>
      <c r="P13" s="2">
        <v>4</v>
      </c>
      <c r="Q13" s="3">
        <v>650</v>
      </c>
      <c r="R13" s="3">
        <f t="shared" si="3"/>
        <v>2600</v>
      </c>
      <c r="S13" s="4">
        <f t="shared" si="4"/>
        <v>2600</v>
      </c>
      <c r="T13" s="4">
        <f t="shared" si="5"/>
        <v>130</v>
      </c>
      <c r="U13" s="5">
        <f t="shared" si="6"/>
        <v>2730</v>
      </c>
      <c r="W13" s="17" t="s">
        <v>1002</v>
      </c>
      <c r="X13" s="2" t="s">
        <v>924</v>
      </c>
      <c r="Y13" s="13"/>
      <c r="Z13" s="13"/>
      <c r="AA13" s="2"/>
      <c r="AB13" s="3"/>
      <c r="AC13" s="3"/>
      <c r="AD13" s="4"/>
      <c r="AE13" s="4"/>
      <c r="AF13" s="5"/>
    </row>
    <row r="14" spans="1:32" x14ac:dyDescent="0.25">
      <c r="A14" s="33"/>
      <c r="B14" s="36"/>
      <c r="C14" s="36"/>
      <c r="D14" s="13" t="s">
        <v>15</v>
      </c>
      <c r="E14" s="2">
        <v>10</v>
      </c>
      <c r="F14" s="3">
        <v>150</v>
      </c>
      <c r="G14" s="4">
        <f t="shared" si="11"/>
        <v>1500</v>
      </c>
      <c r="H14" s="40"/>
      <c r="I14" s="40"/>
      <c r="J14" s="43"/>
      <c r="L14" s="6">
        <v>45901</v>
      </c>
      <c r="M14" s="2" t="s">
        <v>831</v>
      </c>
      <c r="N14" s="13" t="s">
        <v>217</v>
      </c>
      <c r="O14" s="13" t="s">
        <v>14</v>
      </c>
      <c r="P14" s="2">
        <v>25</v>
      </c>
      <c r="Q14" s="3">
        <v>4889.5200000000004</v>
      </c>
      <c r="R14" s="3">
        <f t="shared" si="3"/>
        <v>122238.00000000001</v>
      </c>
      <c r="S14" s="4">
        <f t="shared" si="4"/>
        <v>122238.00000000001</v>
      </c>
      <c r="T14" s="4">
        <f t="shared" si="5"/>
        <v>6112</v>
      </c>
      <c r="U14" s="5">
        <f t="shared" si="6"/>
        <v>128350.00000000001</v>
      </c>
      <c r="W14" s="6">
        <v>45952</v>
      </c>
      <c r="X14" s="2" t="s">
        <v>925</v>
      </c>
      <c r="Y14" s="13" t="s">
        <v>383</v>
      </c>
      <c r="Z14" s="13" t="s">
        <v>14</v>
      </c>
      <c r="AA14" s="2">
        <v>53</v>
      </c>
      <c r="AB14" s="3">
        <v>2792.45</v>
      </c>
      <c r="AC14" s="3">
        <f t="shared" ref="AC14" si="12">AA14*AB14</f>
        <v>147999.84999999998</v>
      </c>
      <c r="AD14" s="4">
        <f t="shared" ref="AD14" si="13">AC14</f>
        <v>147999.84999999998</v>
      </c>
      <c r="AE14" s="4">
        <f t="shared" ref="AE14" si="14">ROUND(AD14*0.05,0)</f>
        <v>7400</v>
      </c>
      <c r="AF14" s="5">
        <f t="shared" ref="AF14" si="15">AD14+AE14</f>
        <v>155399.84999999998</v>
      </c>
    </row>
    <row r="15" spans="1:32" x14ac:dyDescent="0.25">
      <c r="A15" s="6">
        <v>45931</v>
      </c>
      <c r="B15" s="2" t="s">
        <v>873</v>
      </c>
      <c r="C15" s="13" t="s">
        <v>994</v>
      </c>
      <c r="D15" s="13" t="s">
        <v>14</v>
      </c>
      <c r="E15" s="2">
        <v>50</v>
      </c>
      <c r="F15" s="3">
        <v>2355</v>
      </c>
      <c r="G15" s="3">
        <f t="shared" si="11"/>
        <v>117750</v>
      </c>
      <c r="H15" s="4">
        <f t="shared" si="0"/>
        <v>117750</v>
      </c>
      <c r="I15" s="4">
        <f t="shared" si="1"/>
        <v>5888</v>
      </c>
      <c r="J15" s="5">
        <f t="shared" si="2"/>
        <v>123638</v>
      </c>
      <c r="L15" s="6">
        <v>45903</v>
      </c>
      <c r="M15" s="2" t="s">
        <v>832</v>
      </c>
      <c r="N15" s="13" t="s">
        <v>790</v>
      </c>
      <c r="O15" s="13" t="s">
        <v>15</v>
      </c>
      <c r="P15" s="2">
        <v>2</v>
      </c>
      <c r="Q15" s="3">
        <v>150</v>
      </c>
      <c r="R15" s="3">
        <f t="shared" si="3"/>
        <v>300</v>
      </c>
      <c r="S15" s="4">
        <f t="shared" si="4"/>
        <v>300</v>
      </c>
      <c r="T15" s="4">
        <f t="shared" si="5"/>
        <v>15</v>
      </c>
      <c r="U15" s="5">
        <f t="shared" si="6"/>
        <v>315</v>
      </c>
      <c r="W15" s="1"/>
      <c r="X15" s="2" t="s">
        <v>926</v>
      </c>
      <c r="Y15" s="2"/>
      <c r="Z15" s="2"/>
      <c r="AA15" s="2"/>
      <c r="AB15" s="3"/>
      <c r="AC15" s="3">
        <f t="shared" si="7"/>
        <v>0</v>
      </c>
      <c r="AD15" s="4">
        <f t="shared" si="8"/>
        <v>0</v>
      </c>
      <c r="AE15" s="4">
        <f t="shared" si="9"/>
        <v>0</v>
      </c>
      <c r="AF15" s="5">
        <f t="shared" si="10"/>
        <v>0</v>
      </c>
    </row>
    <row r="16" spans="1:32" x14ac:dyDescent="0.25">
      <c r="A16" s="6">
        <v>45931</v>
      </c>
      <c r="B16" s="2" t="s">
        <v>874</v>
      </c>
      <c r="C16" s="13" t="s">
        <v>995</v>
      </c>
      <c r="D16" s="13" t="s">
        <v>14</v>
      </c>
      <c r="E16" s="2">
        <v>35</v>
      </c>
      <c r="F16" s="3">
        <v>3952.14</v>
      </c>
      <c r="G16" s="3">
        <f t="shared" si="11"/>
        <v>138324.9</v>
      </c>
      <c r="H16" s="4">
        <f t="shared" si="0"/>
        <v>138324.9</v>
      </c>
      <c r="I16" s="4">
        <f t="shared" si="1"/>
        <v>6916</v>
      </c>
      <c r="J16" s="5">
        <f t="shared" si="2"/>
        <v>145240.9</v>
      </c>
      <c r="L16" s="6">
        <v>45905</v>
      </c>
      <c r="M16" s="2" t="s">
        <v>833</v>
      </c>
      <c r="N16" s="13" t="s">
        <v>173</v>
      </c>
      <c r="O16" s="13" t="s">
        <v>209</v>
      </c>
      <c r="P16" s="2"/>
      <c r="Q16" s="3"/>
      <c r="R16" s="3">
        <f t="shared" si="3"/>
        <v>0</v>
      </c>
      <c r="S16" s="4">
        <v>244286</v>
      </c>
      <c r="T16" s="4">
        <f t="shared" si="5"/>
        <v>12214</v>
      </c>
      <c r="U16" s="5">
        <f t="shared" si="6"/>
        <v>256500</v>
      </c>
      <c r="W16" s="1"/>
      <c r="X16" s="2" t="s">
        <v>927</v>
      </c>
      <c r="Y16" s="2"/>
      <c r="Z16" s="2"/>
      <c r="AA16" s="2"/>
      <c r="AB16" s="3"/>
      <c r="AC16" s="3">
        <f t="shared" si="7"/>
        <v>0</v>
      </c>
      <c r="AD16" s="4">
        <f t="shared" si="8"/>
        <v>0</v>
      </c>
      <c r="AE16" s="4">
        <f t="shared" si="9"/>
        <v>0</v>
      </c>
      <c r="AF16" s="5">
        <f t="shared" si="10"/>
        <v>0</v>
      </c>
    </row>
    <row r="17" spans="1:32" x14ac:dyDescent="0.25">
      <c r="A17" s="6">
        <v>45938</v>
      </c>
      <c r="B17" s="2" t="s">
        <v>875</v>
      </c>
      <c r="C17" s="13" t="s">
        <v>996</v>
      </c>
      <c r="D17" s="13" t="s">
        <v>14</v>
      </c>
      <c r="E17" s="2">
        <v>6</v>
      </c>
      <c r="F17" s="3">
        <v>6242</v>
      </c>
      <c r="G17" s="3">
        <f t="shared" si="11"/>
        <v>37452</v>
      </c>
      <c r="H17" s="4">
        <f t="shared" si="0"/>
        <v>37452</v>
      </c>
      <c r="I17" s="4">
        <f t="shared" si="1"/>
        <v>1873</v>
      </c>
      <c r="J17" s="5">
        <f t="shared" si="2"/>
        <v>39325</v>
      </c>
      <c r="L17" s="6">
        <v>45905</v>
      </c>
      <c r="M17" s="2" t="s">
        <v>834</v>
      </c>
      <c r="N17" s="13" t="s">
        <v>400</v>
      </c>
      <c r="O17" s="13" t="s">
        <v>16</v>
      </c>
      <c r="P17" s="2">
        <v>1</v>
      </c>
      <c r="Q17" s="3">
        <v>2952</v>
      </c>
      <c r="R17" s="3">
        <f t="shared" si="3"/>
        <v>2952</v>
      </c>
      <c r="S17" s="4">
        <f t="shared" si="4"/>
        <v>2952</v>
      </c>
      <c r="T17" s="4">
        <f t="shared" si="5"/>
        <v>148</v>
      </c>
      <c r="U17" s="5">
        <f t="shared" si="6"/>
        <v>3100</v>
      </c>
      <c r="W17" s="1"/>
      <c r="X17" s="2" t="s">
        <v>928</v>
      </c>
      <c r="Y17" s="2"/>
      <c r="Z17" s="2"/>
      <c r="AA17" s="2"/>
      <c r="AB17" s="3"/>
      <c r="AC17" s="3">
        <f t="shared" si="7"/>
        <v>0</v>
      </c>
      <c r="AD17" s="4">
        <f t="shared" si="8"/>
        <v>0</v>
      </c>
      <c r="AE17" s="4">
        <f t="shared" si="9"/>
        <v>0</v>
      </c>
      <c r="AF17" s="5">
        <f t="shared" si="10"/>
        <v>0</v>
      </c>
    </row>
    <row r="18" spans="1:32" x14ac:dyDescent="0.25">
      <c r="A18" s="6">
        <v>45946</v>
      </c>
      <c r="B18" s="2" t="s">
        <v>876</v>
      </c>
      <c r="C18" s="13" t="s">
        <v>997</v>
      </c>
      <c r="D18" s="13" t="s">
        <v>16</v>
      </c>
      <c r="E18" s="2">
        <v>5</v>
      </c>
      <c r="F18" s="3">
        <v>1620</v>
      </c>
      <c r="G18" s="3">
        <f t="shared" si="11"/>
        <v>8100</v>
      </c>
      <c r="H18" s="4">
        <f t="shared" si="0"/>
        <v>8100</v>
      </c>
      <c r="I18" s="4">
        <f t="shared" si="1"/>
        <v>405</v>
      </c>
      <c r="J18" s="5">
        <f t="shared" si="2"/>
        <v>8505</v>
      </c>
      <c r="L18" s="31">
        <v>45905</v>
      </c>
      <c r="M18" s="34" t="s">
        <v>974</v>
      </c>
      <c r="N18" s="37" t="s">
        <v>975</v>
      </c>
      <c r="O18" s="13" t="s">
        <v>14</v>
      </c>
      <c r="P18" s="2">
        <v>1</v>
      </c>
      <c r="Q18" s="3">
        <v>3100</v>
      </c>
      <c r="R18" s="4">
        <f t="shared" si="3"/>
        <v>3100</v>
      </c>
      <c r="S18" s="38">
        <f>R18+R19+R20</f>
        <v>7100</v>
      </c>
      <c r="T18" s="38">
        <f t="shared" si="5"/>
        <v>355</v>
      </c>
      <c r="U18" s="41">
        <f t="shared" si="6"/>
        <v>7455</v>
      </c>
      <c r="W18" s="1"/>
      <c r="X18" s="2" t="s">
        <v>929</v>
      </c>
      <c r="Y18" s="2"/>
      <c r="Z18" s="2"/>
      <c r="AA18" s="2"/>
      <c r="AB18" s="3"/>
      <c r="AC18" s="3">
        <f t="shared" si="7"/>
        <v>0</v>
      </c>
      <c r="AD18" s="4">
        <f t="shared" si="8"/>
        <v>0</v>
      </c>
      <c r="AE18" s="4">
        <f t="shared" si="9"/>
        <v>0</v>
      </c>
      <c r="AF18" s="5">
        <f t="shared" si="10"/>
        <v>0</v>
      </c>
    </row>
    <row r="19" spans="1:32" x14ac:dyDescent="0.25">
      <c r="A19" s="6">
        <v>45948</v>
      </c>
      <c r="B19" s="2" t="s">
        <v>877</v>
      </c>
      <c r="C19" s="13" t="s">
        <v>998</v>
      </c>
      <c r="D19" s="13" t="s">
        <v>14</v>
      </c>
      <c r="E19" s="2">
        <v>1</v>
      </c>
      <c r="F19" s="3">
        <v>2400</v>
      </c>
      <c r="G19" s="3">
        <f t="shared" si="11"/>
        <v>2400</v>
      </c>
      <c r="H19" s="4">
        <f t="shared" si="0"/>
        <v>2400</v>
      </c>
      <c r="I19" s="4">
        <f t="shared" si="1"/>
        <v>120</v>
      </c>
      <c r="J19" s="5">
        <f t="shared" si="2"/>
        <v>2520</v>
      </c>
      <c r="L19" s="32"/>
      <c r="M19" s="35"/>
      <c r="N19" s="35"/>
      <c r="O19" s="13" t="s">
        <v>16</v>
      </c>
      <c r="P19" s="2">
        <v>1</v>
      </c>
      <c r="Q19" s="3">
        <v>3000</v>
      </c>
      <c r="R19" s="4">
        <f t="shared" si="3"/>
        <v>3000</v>
      </c>
      <c r="S19" s="39"/>
      <c r="T19" s="39"/>
      <c r="U19" s="42"/>
      <c r="W19" s="1"/>
      <c r="X19" s="2" t="s">
        <v>930</v>
      </c>
      <c r="Y19" s="2"/>
      <c r="Z19" s="2"/>
      <c r="AA19" s="2"/>
      <c r="AB19" s="3"/>
      <c r="AC19" s="3">
        <f t="shared" si="7"/>
        <v>0</v>
      </c>
      <c r="AD19" s="4">
        <f t="shared" si="8"/>
        <v>0</v>
      </c>
      <c r="AE19" s="4">
        <f t="shared" si="9"/>
        <v>0</v>
      </c>
      <c r="AF19" s="5">
        <f t="shared" si="10"/>
        <v>0</v>
      </c>
    </row>
    <row r="20" spans="1:32" x14ac:dyDescent="0.25">
      <c r="A20" s="1"/>
      <c r="B20" s="2" t="s">
        <v>878</v>
      </c>
      <c r="C20" s="2"/>
      <c r="D20" s="2"/>
      <c r="E20" s="2"/>
      <c r="F20" s="3"/>
      <c r="G20" s="3">
        <f t="shared" si="11"/>
        <v>0</v>
      </c>
      <c r="H20" s="4">
        <f t="shared" si="0"/>
        <v>0</v>
      </c>
      <c r="I20" s="4">
        <f t="shared" si="1"/>
        <v>0</v>
      </c>
      <c r="J20" s="5">
        <f t="shared" si="2"/>
        <v>0</v>
      </c>
      <c r="L20" s="33"/>
      <c r="M20" s="36"/>
      <c r="N20" s="36"/>
      <c r="O20" s="13" t="s">
        <v>15</v>
      </c>
      <c r="P20" s="2">
        <v>2</v>
      </c>
      <c r="Q20" s="3">
        <v>500</v>
      </c>
      <c r="R20" s="4">
        <f t="shared" si="3"/>
        <v>1000</v>
      </c>
      <c r="S20" s="40"/>
      <c r="T20" s="40"/>
      <c r="U20" s="43"/>
      <c r="W20" s="1"/>
      <c r="X20" s="2" t="s">
        <v>931</v>
      </c>
      <c r="Y20" s="2"/>
      <c r="Z20" s="2"/>
      <c r="AA20" s="2"/>
      <c r="AB20" s="3"/>
      <c r="AC20" s="3">
        <f t="shared" si="7"/>
        <v>0</v>
      </c>
      <c r="AD20" s="4">
        <f t="shared" si="8"/>
        <v>0</v>
      </c>
      <c r="AE20" s="4">
        <f t="shared" si="9"/>
        <v>0</v>
      </c>
      <c r="AF20" s="5">
        <f t="shared" si="10"/>
        <v>0</v>
      </c>
    </row>
    <row r="21" spans="1:32" x14ac:dyDescent="0.25">
      <c r="A21" s="1"/>
      <c r="B21" s="2" t="s">
        <v>879</v>
      </c>
      <c r="C21" s="2"/>
      <c r="D21" s="2"/>
      <c r="E21" s="2"/>
      <c r="F21" s="3"/>
      <c r="G21" s="3">
        <f t="shared" si="11"/>
        <v>0</v>
      </c>
      <c r="H21" s="4">
        <f t="shared" si="0"/>
        <v>0</v>
      </c>
      <c r="I21" s="4">
        <f t="shared" si="1"/>
        <v>0</v>
      </c>
      <c r="J21" s="5">
        <f t="shared" si="2"/>
        <v>0</v>
      </c>
      <c r="L21" s="6">
        <v>45905</v>
      </c>
      <c r="M21" s="2" t="s">
        <v>835</v>
      </c>
      <c r="N21" s="13" t="s">
        <v>213</v>
      </c>
      <c r="O21" s="13" t="s">
        <v>16</v>
      </c>
      <c r="P21" s="2">
        <v>76</v>
      </c>
      <c r="Q21" s="3">
        <v>2095.2399999999998</v>
      </c>
      <c r="R21" s="3">
        <f t="shared" si="3"/>
        <v>159238.24</v>
      </c>
      <c r="S21" s="4">
        <f t="shared" si="4"/>
        <v>159238.24</v>
      </c>
      <c r="T21" s="4">
        <f t="shared" si="5"/>
        <v>7962</v>
      </c>
      <c r="U21" s="5">
        <f t="shared" si="6"/>
        <v>167200.24</v>
      </c>
      <c r="W21" s="1"/>
      <c r="X21" s="2" t="s">
        <v>932</v>
      </c>
      <c r="Y21" s="2"/>
      <c r="Z21" s="2"/>
      <c r="AA21" s="2"/>
      <c r="AB21" s="3"/>
      <c r="AC21" s="3">
        <f t="shared" si="7"/>
        <v>0</v>
      </c>
      <c r="AD21" s="4">
        <f t="shared" si="8"/>
        <v>0</v>
      </c>
      <c r="AE21" s="4">
        <f t="shared" si="9"/>
        <v>0</v>
      </c>
      <c r="AF21" s="5">
        <f t="shared" si="10"/>
        <v>0</v>
      </c>
    </row>
    <row r="22" spans="1:32" x14ac:dyDescent="0.25">
      <c r="A22" s="1"/>
      <c r="B22" s="2" t="s">
        <v>880</v>
      </c>
      <c r="C22" s="2"/>
      <c r="D22" s="2"/>
      <c r="E22" s="2"/>
      <c r="F22" s="3"/>
      <c r="G22" s="3">
        <f t="shared" si="11"/>
        <v>0</v>
      </c>
      <c r="H22" s="4">
        <f t="shared" si="0"/>
        <v>0</v>
      </c>
      <c r="I22" s="4">
        <f t="shared" si="1"/>
        <v>0</v>
      </c>
      <c r="J22" s="5">
        <f t="shared" si="2"/>
        <v>0</v>
      </c>
      <c r="L22" s="1"/>
      <c r="M22" s="2" t="s">
        <v>836</v>
      </c>
      <c r="N22" s="2"/>
      <c r="O22" s="2"/>
      <c r="P22" s="2"/>
      <c r="Q22" s="3"/>
      <c r="R22" s="3">
        <f t="shared" si="3"/>
        <v>0</v>
      </c>
      <c r="S22" s="4">
        <f t="shared" si="4"/>
        <v>0</v>
      </c>
      <c r="T22" s="4">
        <f t="shared" si="5"/>
        <v>0</v>
      </c>
      <c r="U22" s="5">
        <f t="shared" si="6"/>
        <v>0</v>
      </c>
      <c r="W22" s="1"/>
      <c r="X22" s="2" t="s">
        <v>933</v>
      </c>
      <c r="Y22" s="2"/>
      <c r="Z22" s="2"/>
      <c r="AA22" s="2"/>
      <c r="AB22" s="3"/>
      <c r="AC22" s="3">
        <f t="shared" si="7"/>
        <v>0</v>
      </c>
      <c r="AD22" s="4">
        <f t="shared" si="8"/>
        <v>0</v>
      </c>
      <c r="AE22" s="4">
        <f t="shared" si="9"/>
        <v>0</v>
      </c>
      <c r="AF22" s="5">
        <f t="shared" si="10"/>
        <v>0</v>
      </c>
    </row>
    <row r="23" spans="1:32" x14ac:dyDescent="0.25">
      <c r="A23" s="1"/>
      <c r="B23" s="2" t="s">
        <v>881</v>
      </c>
      <c r="C23" s="2"/>
      <c r="D23" s="2"/>
      <c r="E23" s="2"/>
      <c r="F23" s="3"/>
      <c r="G23" s="3">
        <f t="shared" si="11"/>
        <v>0</v>
      </c>
      <c r="H23" s="4">
        <f t="shared" si="0"/>
        <v>0</v>
      </c>
      <c r="I23" s="4">
        <f t="shared" si="1"/>
        <v>0</v>
      </c>
      <c r="J23" s="5">
        <f t="shared" si="2"/>
        <v>0</v>
      </c>
      <c r="L23" s="6">
        <v>45908</v>
      </c>
      <c r="M23" s="2" t="s">
        <v>837</v>
      </c>
      <c r="N23" s="13" t="s">
        <v>177</v>
      </c>
      <c r="O23" s="13" t="s">
        <v>14</v>
      </c>
      <c r="P23" s="2">
        <v>2</v>
      </c>
      <c r="Q23" s="3">
        <v>3238</v>
      </c>
      <c r="R23" s="3">
        <f t="shared" si="3"/>
        <v>6476</v>
      </c>
      <c r="S23" s="4">
        <f t="shared" si="4"/>
        <v>6476</v>
      </c>
      <c r="T23" s="4">
        <f t="shared" si="5"/>
        <v>324</v>
      </c>
      <c r="U23" s="5">
        <f t="shared" si="6"/>
        <v>6800</v>
      </c>
      <c r="W23" s="1"/>
      <c r="X23" s="2" t="s">
        <v>934</v>
      </c>
      <c r="Y23" s="2"/>
      <c r="Z23" s="2"/>
      <c r="AA23" s="2"/>
      <c r="AB23" s="3"/>
      <c r="AC23" s="3">
        <f t="shared" si="7"/>
        <v>0</v>
      </c>
      <c r="AD23" s="4">
        <f t="shared" si="8"/>
        <v>0</v>
      </c>
      <c r="AE23" s="4">
        <f t="shared" si="9"/>
        <v>0</v>
      </c>
      <c r="AF23" s="5">
        <f t="shared" si="10"/>
        <v>0</v>
      </c>
    </row>
    <row r="24" spans="1:32" x14ac:dyDescent="0.25">
      <c r="A24" s="1"/>
      <c r="B24" s="2" t="s">
        <v>882</v>
      </c>
      <c r="C24" s="2"/>
      <c r="D24" s="2"/>
      <c r="E24" s="2"/>
      <c r="F24" s="3"/>
      <c r="G24" s="3">
        <f t="shared" si="11"/>
        <v>0</v>
      </c>
      <c r="H24" s="4">
        <f t="shared" si="0"/>
        <v>0</v>
      </c>
      <c r="I24" s="4">
        <f t="shared" si="1"/>
        <v>0</v>
      </c>
      <c r="J24" s="5">
        <f t="shared" si="2"/>
        <v>0</v>
      </c>
      <c r="L24" s="6">
        <v>45908</v>
      </c>
      <c r="M24" s="2" t="s">
        <v>838</v>
      </c>
      <c r="N24" s="13" t="s">
        <v>589</v>
      </c>
      <c r="O24" s="13" t="s">
        <v>14</v>
      </c>
      <c r="P24" s="2">
        <v>1</v>
      </c>
      <c r="Q24" s="3">
        <v>4400</v>
      </c>
      <c r="R24" s="3">
        <f t="shared" si="3"/>
        <v>4400</v>
      </c>
      <c r="S24" s="4">
        <f t="shared" si="4"/>
        <v>4400</v>
      </c>
      <c r="T24" s="4">
        <f t="shared" si="5"/>
        <v>220</v>
      </c>
      <c r="U24" s="5">
        <f t="shared" si="6"/>
        <v>4620</v>
      </c>
      <c r="W24" s="1"/>
      <c r="X24" s="2" t="s">
        <v>935</v>
      </c>
      <c r="Y24" s="2"/>
      <c r="Z24" s="2"/>
      <c r="AA24" s="2"/>
      <c r="AB24" s="3"/>
      <c r="AC24" s="3">
        <f t="shared" si="7"/>
        <v>0</v>
      </c>
      <c r="AD24" s="4">
        <f t="shared" si="8"/>
        <v>0</v>
      </c>
      <c r="AE24" s="4">
        <f t="shared" si="9"/>
        <v>0</v>
      </c>
      <c r="AF24" s="5">
        <f t="shared" si="10"/>
        <v>0</v>
      </c>
    </row>
    <row r="25" spans="1:32" x14ac:dyDescent="0.25">
      <c r="A25" s="1"/>
      <c r="B25" s="2" t="s">
        <v>883</v>
      </c>
      <c r="C25" s="2"/>
      <c r="D25" s="2"/>
      <c r="E25" s="2"/>
      <c r="F25" s="3"/>
      <c r="G25" s="3">
        <f t="shared" si="11"/>
        <v>0</v>
      </c>
      <c r="H25" s="4">
        <f t="shared" si="0"/>
        <v>0</v>
      </c>
      <c r="I25" s="4">
        <f t="shared" si="1"/>
        <v>0</v>
      </c>
      <c r="J25" s="5">
        <f t="shared" si="2"/>
        <v>0</v>
      </c>
      <c r="L25" s="6">
        <v>45912</v>
      </c>
      <c r="M25" s="2" t="s">
        <v>839</v>
      </c>
      <c r="N25" s="13" t="s">
        <v>215</v>
      </c>
      <c r="O25" s="13" t="s">
        <v>14</v>
      </c>
      <c r="P25" s="2">
        <v>1</v>
      </c>
      <c r="Q25" s="3">
        <v>4600</v>
      </c>
      <c r="R25" s="3">
        <f t="shared" si="3"/>
        <v>4600</v>
      </c>
      <c r="S25" s="4">
        <f t="shared" si="4"/>
        <v>4600</v>
      </c>
      <c r="T25" s="4">
        <f t="shared" si="5"/>
        <v>230</v>
      </c>
      <c r="U25" s="5">
        <f t="shared" si="6"/>
        <v>4830</v>
      </c>
      <c r="W25" s="1"/>
      <c r="X25" s="2" t="s">
        <v>936</v>
      </c>
      <c r="Y25" s="2"/>
      <c r="Z25" s="2"/>
      <c r="AA25" s="2"/>
      <c r="AB25" s="3"/>
      <c r="AC25" s="3">
        <f t="shared" si="7"/>
        <v>0</v>
      </c>
      <c r="AD25" s="4">
        <f t="shared" si="8"/>
        <v>0</v>
      </c>
      <c r="AE25" s="4">
        <f t="shared" si="9"/>
        <v>0</v>
      </c>
      <c r="AF25" s="5">
        <f t="shared" si="10"/>
        <v>0</v>
      </c>
    </row>
    <row r="26" spans="1:32" x14ac:dyDescent="0.25">
      <c r="A26" s="1"/>
      <c r="B26" s="2" t="s">
        <v>884</v>
      </c>
      <c r="C26" s="2"/>
      <c r="D26" s="2"/>
      <c r="E26" s="2"/>
      <c r="F26" s="3"/>
      <c r="G26" s="3">
        <f t="shared" si="11"/>
        <v>0</v>
      </c>
      <c r="H26" s="4">
        <f t="shared" si="0"/>
        <v>0</v>
      </c>
      <c r="I26" s="4">
        <f t="shared" si="1"/>
        <v>0</v>
      </c>
      <c r="J26" s="5">
        <f t="shared" si="2"/>
        <v>0</v>
      </c>
      <c r="L26" s="6">
        <v>45912</v>
      </c>
      <c r="M26" s="2" t="s">
        <v>840</v>
      </c>
      <c r="N26" s="13" t="s">
        <v>191</v>
      </c>
      <c r="O26" s="13" t="s">
        <v>14</v>
      </c>
      <c r="P26" s="2">
        <v>3</v>
      </c>
      <c r="Q26" s="3">
        <v>4600</v>
      </c>
      <c r="R26" s="3">
        <f t="shared" si="3"/>
        <v>13800</v>
      </c>
      <c r="S26" s="4">
        <f t="shared" si="4"/>
        <v>13800</v>
      </c>
      <c r="T26" s="4">
        <f t="shared" si="5"/>
        <v>690</v>
      </c>
      <c r="U26" s="5">
        <f t="shared" si="6"/>
        <v>14490</v>
      </c>
      <c r="W26" s="1"/>
      <c r="X26" s="2" t="s">
        <v>937</v>
      </c>
      <c r="Y26" s="2"/>
      <c r="Z26" s="2"/>
      <c r="AA26" s="2"/>
      <c r="AB26" s="3"/>
      <c r="AC26" s="3">
        <f t="shared" si="7"/>
        <v>0</v>
      </c>
      <c r="AD26" s="4">
        <f t="shared" si="8"/>
        <v>0</v>
      </c>
      <c r="AE26" s="4">
        <f t="shared" si="9"/>
        <v>0</v>
      </c>
      <c r="AF26" s="5">
        <f t="shared" si="10"/>
        <v>0</v>
      </c>
    </row>
    <row r="27" spans="1:32" x14ac:dyDescent="0.25">
      <c r="A27" s="1"/>
      <c r="B27" s="2" t="s">
        <v>885</v>
      </c>
      <c r="C27" s="2"/>
      <c r="D27" s="2"/>
      <c r="E27" s="2"/>
      <c r="F27" s="3"/>
      <c r="G27" s="3">
        <f t="shared" si="11"/>
        <v>0</v>
      </c>
      <c r="H27" s="4">
        <f t="shared" si="0"/>
        <v>0</v>
      </c>
      <c r="I27" s="4">
        <f t="shared" si="1"/>
        <v>0</v>
      </c>
      <c r="J27" s="5">
        <f t="shared" si="2"/>
        <v>0</v>
      </c>
      <c r="L27" s="1"/>
      <c r="M27" s="2" t="s">
        <v>841</v>
      </c>
      <c r="N27" s="2"/>
      <c r="O27" s="2"/>
      <c r="P27" s="2"/>
      <c r="Q27" s="3"/>
      <c r="R27" s="3">
        <f t="shared" si="3"/>
        <v>0</v>
      </c>
      <c r="S27" s="4">
        <f t="shared" si="4"/>
        <v>0</v>
      </c>
      <c r="T27" s="4">
        <f t="shared" si="5"/>
        <v>0</v>
      </c>
      <c r="U27" s="5">
        <f t="shared" si="6"/>
        <v>0</v>
      </c>
      <c r="W27" s="1"/>
      <c r="X27" s="2" t="s">
        <v>938</v>
      </c>
      <c r="Y27" s="2"/>
      <c r="Z27" s="2"/>
      <c r="AA27" s="2"/>
      <c r="AB27" s="3"/>
      <c r="AC27" s="3">
        <f t="shared" si="7"/>
        <v>0</v>
      </c>
      <c r="AD27" s="4">
        <f t="shared" si="8"/>
        <v>0</v>
      </c>
      <c r="AE27" s="4">
        <f t="shared" si="9"/>
        <v>0</v>
      </c>
      <c r="AF27" s="5">
        <f t="shared" si="10"/>
        <v>0</v>
      </c>
    </row>
    <row r="28" spans="1:32" x14ac:dyDescent="0.25">
      <c r="A28" s="1"/>
      <c r="B28" s="2" t="s">
        <v>886</v>
      </c>
      <c r="C28" s="2"/>
      <c r="D28" s="2"/>
      <c r="E28" s="2"/>
      <c r="F28" s="3"/>
      <c r="G28" s="3">
        <f t="shared" si="11"/>
        <v>0</v>
      </c>
      <c r="H28" s="4">
        <f t="shared" si="0"/>
        <v>0</v>
      </c>
      <c r="I28" s="4">
        <f t="shared" si="1"/>
        <v>0</v>
      </c>
      <c r="J28" s="5">
        <f t="shared" si="2"/>
        <v>0</v>
      </c>
      <c r="L28" s="31">
        <v>45919</v>
      </c>
      <c r="M28" s="51" t="s">
        <v>842</v>
      </c>
      <c r="N28" s="37" t="s">
        <v>374</v>
      </c>
      <c r="O28" s="13" t="s">
        <v>14</v>
      </c>
      <c r="P28" s="2">
        <v>100</v>
      </c>
      <c r="Q28" s="3">
        <v>2250</v>
      </c>
      <c r="R28" s="3">
        <f t="shared" si="3"/>
        <v>225000</v>
      </c>
      <c r="S28" s="38">
        <f>R28+R29+R30</f>
        <v>163750</v>
      </c>
      <c r="T28" s="38">
        <f t="shared" si="5"/>
        <v>8188</v>
      </c>
      <c r="U28" s="41">
        <f t="shared" si="6"/>
        <v>171938</v>
      </c>
      <c r="W28" s="1"/>
      <c r="X28" s="2" t="s">
        <v>939</v>
      </c>
      <c r="Y28" s="2"/>
      <c r="Z28" s="2"/>
      <c r="AA28" s="2"/>
      <c r="AB28" s="3"/>
      <c r="AC28" s="3">
        <f t="shared" si="7"/>
        <v>0</v>
      </c>
      <c r="AD28" s="4">
        <f t="shared" si="8"/>
        <v>0</v>
      </c>
      <c r="AE28" s="4">
        <f t="shared" si="9"/>
        <v>0</v>
      </c>
      <c r="AF28" s="5">
        <f t="shared" si="10"/>
        <v>0</v>
      </c>
    </row>
    <row r="29" spans="1:32" x14ac:dyDescent="0.25">
      <c r="A29" s="1"/>
      <c r="B29" s="2" t="s">
        <v>887</v>
      </c>
      <c r="C29" s="2"/>
      <c r="D29" s="2"/>
      <c r="E29" s="2"/>
      <c r="F29" s="3"/>
      <c r="G29" s="3">
        <f t="shared" si="11"/>
        <v>0</v>
      </c>
      <c r="H29" s="4">
        <f t="shared" si="0"/>
        <v>0</v>
      </c>
      <c r="I29" s="4">
        <f t="shared" si="1"/>
        <v>0</v>
      </c>
      <c r="J29" s="5">
        <f t="shared" si="2"/>
        <v>0</v>
      </c>
      <c r="L29" s="32"/>
      <c r="M29" s="48"/>
      <c r="N29" s="35"/>
      <c r="O29" s="13" t="s">
        <v>15</v>
      </c>
      <c r="P29" s="2">
        <v>50</v>
      </c>
      <c r="Q29" s="3">
        <v>125</v>
      </c>
      <c r="R29" s="3">
        <f t="shared" si="3"/>
        <v>6250</v>
      </c>
      <c r="S29" s="39"/>
      <c r="T29" s="39"/>
      <c r="U29" s="42"/>
      <c r="W29" s="1"/>
      <c r="X29" s="2" t="s">
        <v>940</v>
      </c>
      <c r="Y29" s="2"/>
      <c r="Z29" s="2"/>
      <c r="AA29" s="2"/>
      <c r="AB29" s="3"/>
      <c r="AC29" s="3">
        <f t="shared" si="7"/>
        <v>0</v>
      </c>
      <c r="AD29" s="4">
        <f t="shared" si="8"/>
        <v>0</v>
      </c>
      <c r="AE29" s="4">
        <f t="shared" si="9"/>
        <v>0</v>
      </c>
      <c r="AF29" s="5">
        <f t="shared" si="10"/>
        <v>0</v>
      </c>
    </row>
    <row r="30" spans="1:32" x14ac:dyDescent="0.25">
      <c r="A30" s="1"/>
      <c r="B30" s="2" t="s">
        <v>888</v>
      </c>
      <c r="C30" s="2"/>
      <c r="D30" s="2"/>
      <c r="E30" s="2"/>
      <c r="F30" s="3"/>
      <c r="G30" s="3">
        <f t="shared" si="11"/>
        <v>0</v>
      </c>
      <c r="H30" s="4">
        <f t="shared" si="0"/>
        <v>0</v>
      </c>
      <c r="I30" s="4">
        <f t="shared" si="1"/>
        <v>0</v>
      </c>
      <c r="J30" s="5">
        <f t="shared" si="2"/>
        <v>0</v>
      </c>
      <c r="L30" s="33"/>
      <c r="M30" s="49"/>
      <c r="N30" s="36"/>
      <c r="O30" s="13" t="s">
        <v>618</v>
      </c>
      <c r="P30" s="2"/>
      <c r="Q30" s="3"/>
      <c r="R30" s="3">
        <v>-67500</v>
      </c>
      <c r="S30" s="40"/>
      <c r="T30" s="40"/>
      <c r="U30" s="43"/>
      <c r="W30" s="1"/>
      <c r="X30" s="2" t="s">
        <v>941</v>
      </c>
      <c r="Y30" s="2"/>
      <c r="Z30" s="2"/>
      <c r="AA30" s="2"/>
      <c r="AB30" s="3"/>
      <c r="AC30" s="3">
        <f t="shared" si="7"/>
        <v>0</v>
      </c>
      <c r="AD30" s="4">
        <f t="shared" si="8"/>
        <v>0</v>
      </c>
      <c r="AE30" s="4">
        <f t="shared" si="9"/>
        <v>0</v>
      </c>
      <c r="AF30" s="5">
        <f t="shared" si="10"/>
        <v>0</v>
      </c>
    </row>
    <row r="31" spans="1:32" x14ac:dyDescent="0.25">
      <c r="A31" s="1"/>
      <c r="B31" s="2" t="s">
        <v>889</v>
      </c>
      <c r="C31" s="2"/>
      <c r="D31" s="2"/>
      <c r="E31" s="2"/>
      <c r="F31" s="3"/>
      <c r="G31" s="3">
        <f t="shared" si="11"/>
        <v>0</v>
      </c>
      <c r="H31" s="4">
        <f t="shared" si="0"/>
        <v>0</v>
      </c>
      <c r="I31" s="4">
        <f t="shared" si="1"/>
        <v>0</v>
      </c>
      <c r="J31" s="5">
        <f t="shared" si="2"/>
        <v>0</v>
      </c>
      <c r="L31" s="31">
        <v>45923</v>
      </c>
      <c r="M31" s="34" t="s">
        <v>976</v>
      </c>
      <c r="N31" s="37" t="s">
        <v>178</v>
      </c>
      <c r="O31" s="13" t="s">
        <v>14</v>
      </c>
      <c r="P31" s="2">
        <v>275</v>
      </c>
      <c r="Q31" s="3">
        <v>2380</v>
      </c>
      <c r="R31" s="16">
        <f t="shared" ref="R31:R32" si="16">P31*Q31</f>
        <v>654500</v>
      </c>
      <c r="S31" s="38">
        <f>R31+R32</f>
        <v>751700</v>
      </c>
      <c r="T31" s="38">
        <f t="shared" ref="T31" si="17">ROUND(S31*0.05,0)</f>
        <v>37585</v>
      </c>
      <c r="U31" s="41">
        <f t="shared" ref="U31" si="18">S31+T31</f>
        <v>789285</v>
      </c>
      <c r="W31" s="1"/>
      <c r="X31" s="2" t="s">
        <v>942</v>
      </c>
      <c r="Y31" s="2"/>
      <c r="Z31" s="2"/>
      <c r="AA31" s="2"/>
      <c r="AB31" s="3"/>
      <c r="AC31" s="3">
        <f t="shared" si="7"/>
        <v>0</v>
      </c>
      <c r="AD31" s="4">
        <f t="shared" si="8"/>
        <v>0</v>
      </c>
      <c r="AE31" s="4">
        <f t="shared" si="9"/>
        <v>0</v>
      </c>
      <c r="AF31" s="5">
        <f t="shared" si="10"/>
        <v>0</v>
      </c>
    </row>
    <row r="32" spans="1:32" x14ac:dyDescent="0.25">
      <c r="A32" s="1"/>
      <c r="B32" s="2" t="s">
        <v>890</v>
      </c>
      <c r="C32" s="2"/>
      <c r="D32" s="2"/>
      <c r="E32" s="2"/>
      <c r="F32" s="3"/>
      <c r="G32" s="3">
        <f t="shared" si="11"/>
        <v>0</v>
      </c>
      <c r="H32" s="4">
        <f t="shared" si="0"/>
        <v>0</v>
      </c>
      <c r="I32" s="4">
        <f t="shared" si="1"/>
        <v>0</v>
      </c>
      <c r="J32" s="5">
        <f t="shared" si="2"/>
        <v>0</v>
      </c>
      <c r="L32" s="33"/>
      <c r="M32" s="36"/>
      <c r="N32" s="36"/>
      <c r="O32" s="13" t="s">
        <v>16</v>
      </c>
      <c r="P32" s="2">
        <v>36</v>
      </c>
      <c r="Q32" s="3">
        <v>2700</v>
      </c>
      <c r="R32" s="16">
        <f t="shared" si="16"/>
        <v>97200</v>
      </c>
      <c r="S32" s="40"/>
      <c r="T32" s="40"/>
      <c r="U32" s="43"/>
      <c r="W32" s="1"/>
      <c r="X32" s="2" t="s">
        <v>943</v>
      </c>
      <c r="Y32" s="2"/>
      <c r="Z32" s="2"/>
      <c r="AA32" s="2"/>
      <c r="AB32" s="3"/>
      <c r="AC32" s="3">
        <f t="shared" si="7"/>
        <v>0</v>
      </c>
      <c r="AD32" s="4">
        <f t="shared" si="8"/>
        <v>0</v>
      </c>
      <c r="AE32" s="4">
        <f t="shared" si="9"/>
        <v>0</v>
      </c>
      <c r="AF32" s="5">
        <f t="shared" si="10"/>
        <v>0</v>
      </c>
    </row>
    <row r="33" spans="1:32" x14ac:dyDescent="0.25">
      <c r="A33" s="1"/>
      <c r="B33" s="2" t="s">
        <v>891</v>
      </c>
      <c r="C33" s="2"/>
      <c r="D33" s="2"/>
      <c r="E33" s="2"/>
      <c r="F33" s="3"/>
      <c r="G33" s="3">
        <f t="shared" si="11"/>
        <v>0</v>
      </c>
      <c r="H33" s="4">
        <f t="shared" si="0"/>
        <v>0</v>
      </c>
      <c r="I33" s="4">
        <f t="shared" si="1"/>
        <v>0</v>
      </c>
      <c r="J33" s="5">
        <f t="shared" si="2"/>
        <v>0</v>
      </c>
      <c r="L33" s="17" t="s">
        <v>187</v>
      </c>
      <c r="M33" s="2" t="s">
        <v>843</v>
      </c>
      <c r="N33" s="2"/>
      <c r="O33" s="2"/>
      <c r="P33" s="2"/>
      <c r="Q33" s="3"/>
      <c r="R33" s="3">
        <f t="shared" si="3"/>
        <v>0</v>
      </c>
      <c r="S33" s="4">
        <f t="shared" si="4"/>
        <v>0</v>
      </c>
      <c r="T33" s="4">
        <f t="shared" si="5"/>
        <v>0</v>
      </c>
      <c r="U33" s="5">
        <f t="shared" si="6"/>
        <v>0</v>
      </c>
      <c r="W33" s="1"/>
      <c r="X33" s="2" t="s">
        <v>944</v>
      </c>
      <c r="Y33" s="2"/>
      <c r="Z33" s="2"/>
      <c r="AA33" s="2"/>
      <c r="AB33" s="3"/>
      <c r="AC33" s="3">
        <f t="shared" si="7"/>
        <v>0</v>
      </c>
      <c r="AD33" s="4">
        <f t="shared" si="8"/>
        <v>0</v>
      </c>
      <c r="AE33" s="4">
        <f t="shared" si="9"/>
        <v>0</v>
      </c>
      <c r="AF33" s="5">
        <f t="shared" si="10"/>
        <v>0</v>
      </c>
    </row>
    <row r="34" spans="1:32" x14ac:dyDescent="0.25">
      <c r="A34" s="1"/>
      <c r="B34" s="2" t="s">
        <v>892</v>
      </c>
      <c r="C34" s="2"/>
      <c r="D34" s="2"/>
      <c r="E34" s="2"/>
      <c r="F34" s="3"/>
      <c r="G34" s="3">
        <f t="shared" si="11"/>
        <v>0</v>
      </c>
      <c r="H34" s="4">
        <f t="shared" si="0"/>
        <v>0</v>
      </c>
      <c r="I34" s="4">
        <f t="shared" si="1"/>
        <v>0</v>
      </c>
      <c r="J34" s="5">
        <f t="shared" si="2"/>
        <v>0</v>
      </c>
      <c r="L34" s="31">
        <v>45931</v>
      </c>
      <c r="M34" s="34" t="s">
        <v>977</v>
      </c>
      <c r="N34" s="37"/>
      <c r="O34" s="13" t="s">
        <v>14</v>
      </c>
      <c r="P34" s="2">
        <v>66</v>
      </c>
      <c r="Q34" s="3">
        <v>2296.88</v>
      </c>
      <c r="R34" s="4">
        <f t="shared" si="3"/>
        <v>151594.08000000002</v>
      </c>
      <c r="S34" s="38">
        <f>R34+R35+R36</f>
        <v>168462.07</v>
      </c>
      <c r="T34" s="38">
        <f t="shared" si="5"/>
        <v>8423</v>
      </c>
      <c r="U34" s="41">
        <f t="shared" si="6"/>
        <v>176885.07</v>
      </c>
      <c r="W34" s="1"/>
      <c r="X34" s="2" t="s">
        <v>945</v>
      </c>
      <c r="Y34" s="2"/>
      <c r="Z34" s="2"/>
      <c r="AA34" s="2"/>
      <c r="AB34" s="3"/>
      <c r="AC34" s="3">
        <f t="shared" si="7"/>
        <v>0</v>
      </c>
      <c r="AD34" s="4">
        <f t="shared" si="8"/>
        <v>0</v>
      </c>
      <c r="AE34" s="4">
        <f t="shared" si="9"/>
        <v>0</v>
      </c>
      <c r="AF34" s="5">
        <f t="shared" si="10"/>
        <v>0</v>
      </c>
    </row>
    <row r="35" spans="1:32" x14ac:dyDescent="0.25">
      <c r="A35" s="1"/>
      <c r="B35" s="2" t="s">
        <v>893</v>
      </c>
      <c r="C35" s="2"/>
      <c r="D35" s="2"/>
      <c r="E35" s="2"/>
      <c r="F35" s="3"/>
      <c r="G35" s="3">
        <f t="shared" si="11"/>
        <v>0</v>
      </c>
      <c r="H35" s="4">
        <f t="shared" si="0"/>
        <v>0</v>
      </c>
      <c r="I35" s="4">
        <f t="shared" si="1"/>
        <v>0</v>
      </c>
      <c r="J35" s="5">
        <f t="shared" si="2"/>
        <v>0</v>
      </c>
      <c r="L35" s="32"/>
      <c r="M35" s="35"/>
      <c r="N35" s="35"/>
      <c r="O35" s="13" t="s">
        <v>16</v>
      </c>
      <c r="P35" s="2">
        <v>5</v>
      </c>
      <c r="Q35" s="3">
        <v>2945</v>
      </c>
      <c r="R35" s="4">
        <f t="shared" si="3"/>
        <v>14725</v>
      </c>
      <c r="S35" s="39"/>
      <c r="T35" s="39"/>
      <c r="U35" s="42"/>
      <c r="W35" s="1"/>
      <c r="X35" s="2" t="s">
        <v>946</v>
      </c>
      <c r="Y35" s="2"/>
      <c r="Z35" s="2"/>
      <c r="AA35" s="2"/>
      <c r="AB35" s="3"/>
      <c r="AC35" s="3">
        <f t="shared" si="7"/>
        <v>0</v>
      </c>
      <c r="AD35" s="4">
        <f t="shared" si="8"/>
        <v>0</v>
      </c>
      <c r="AE35" s="4">
        <f t="shared" si="9"/>
        <v>0</v>
      </c>
      <c r="AF35" s="5">
        <f t="shared" si="10"/>
        <v>0</v>
      </c>
    </row>
    <row r="36" spans="1:32" x14ac:dyDescent="0.25">
      <c r="A36" s="1"/>
      <c r="B36" s="2" t="s">
        <v>894</v>
      </c>
      <c r="C36" s="2"/>
      <c r="D36" s="2"/>
      <c r="E36" s="2"/>
      <c r="F36" s="3"/>
      <c r="G36" s="3">
        <f t="shared" si="11"/>
        <v>0</v>
      </c>
      <c r="H36" s="4">
        <f t="shared" si="0"/>
        <v>0</v>
      </c>
      <c r="I36" s="4">
        <f t="shared" si="1"/>
        <v>0</v>
      </c>
      <c r="J36" s="5">
        <f t="shared" si="2"/>
        <v>0</v>
      </c>
      <c r="L36" s="33"/>
      <c r="M36" s="36"/>
      <c r="N36" s="36"/>
      <c r="O36" s="13" t="s">
        <v>15</v>
      </c>
      <c r="P36" s="2">
        <v>3</v>
      </c>
      <c r="Q36" s="3">
        <v>714.33</v>
      </c>
      <c r="R36" s="4">
        <f t="shared" si="3"/>
        <v>2142.9900000000002</v>
      </c>
      <c r="S36" s="40"/>
      <c r="T36" s="40"/>
      <c r="U36" s="43"/>
      <c r="W36" s="1"/>
      <c r="X36" s="2" t="s">
        <v>947</v>
      </c>
      <c r="Y36" s="2"/>
      <c r="Z36" s="2"/>
      <c r="AA36" s="2"/>
      <c r="AB36" s="3"/>
      <c r="AC36" s="3">
        <f t="shared" si="7"/>
        <v>0</v>
      </c>
      <c r="AD36" s="4">
        <f t="shared" si="8"/>
        <v>0</v>
      </c>
      <c r="AE36" s="4">
        <f t="shared" si="9"/>
        <v>0</v>
      </c>
      <c r="AF36" s="5">
        <f t="shared" si="10"/>
        <v>0</v>
      </c>
    </row>
    <row r="37" spans="1:32" x14ac:dyDescent="0.25">
      <c r="A37" s="1"/>
      <c r="B37" s="2" t="s">
        <v>895</v>
      </c>
      <c r="C37" s="2"/>
      <c r="D37" s="2"/>
      <c r="E37" s="2"/>
      <c r="F37" s="3"/>
      <c r="G37" s="3">
        <f t="shared" si="11"/>
        <v>0</v>
      </c>
      <c r="H37" s="4">
        <f t="shared" si="0"/>
        <v>0</v>
      </c>
      <c r="I37" s="4">
        <f t="shared" si="1"/>
        <v>0</v>
      </c>
      <c r="J37" s="5">
        <f t="shared" si="2"/>
        <v>0</v>
      </c>
      <c r="L37" s="31">
        <v>45931</v>
      </c>
      <c r="M37" s="34" t="s">
        <v>978</v>
      </c>
      <c r="N37" s="37" t="s">
        <v>979</v>
      </c>
      <c r="O37" s="13" t="s">
        <v>14</v>
      </c>
      <c r="P37" s="2">
        <v>99</v>
      </c>
      <c r="Q37" s="3">
        <v>2271.7199999999998</v>
      </c>
      <c r="R37" s="16">
        <f t="shared" si="3"/>
        <v>224900.27999999997</v>
      </c>
      <c r="S37" s="38">
        <f>R37+R38</f>
        <v>227200.27999999997</v>
      </c>
      <c r="T37" s="38">
        <f t="shared" ref="T37" si="19">ROUND(S37*0.05,0)</f>
        <v>11360</v>
      </c>
      <c r="U37" s="41">
        <f t="shared" ref="U37" si="20">S37+T37</f>
        <v>238560.27999999997</v>
      </c>
      <c r="W37" s="1"/>
      <c r="X37" s="2" t="s">
        <v>948</v>
      </c>
      <c r="Y37" s="2"/>
      <c r="Z37" s="2"/>
      <c r="AA37" s="2"/>
      <c r="AB37" s="3"/>
      <c r="AC37" s="3">
        <f t="shared" si="7"/>
        <v>0</v>
      </c>
      <c r="AD37" s="4">
        <f t="shared" si="8"/>
        <v>0</v>
      </c>
      <c r="AE37" s="4">
        <f t="shared" si="9"/>
        <v>0</v>
      </c>
      <c r="AF37" s="5">
        <f t="shared" si="10"/>
        <v>0</v>
      </c>
    </row>
    <row r="38" spans="1:32" x14ac:dyDescent="0.25">
      <c r="A38" s="1"/>
      <c r="B38" s="2" t="s">
        <v>896</v>
      </c>
      <c r="C38" s="2"/>
      <c r="D38" s="2"/>
      <c r="E38" s="2"/>
      <c r="F38" s="3"/>
      <c r="G38" s="3">
        <f t="shared" si="11"/>
        <v>0</v>
      </c>
      <c r="H38" s="4">
        <f t="shared" si="0"/>
        <v>0</v>
      </c>
      <c r="I38" s="4">
        <f t="shared" si="1"/>
        <v>0</v>
      </c>
      <c r="J38" s="5">
        <f t="shared" si="2"/>
        <v>0</v>
      </c>
      <c r="L38" s="33"/>
      <c r="M38" s="36"/>
      <c r="N38" s="36"/>
      <c r="O38" s="13" t="s">
        <v>16</v>
      </c>
      <c r="P38" s="2">
        <v>1</v>
      </c>
      <c r="Q38" s="3">
        <v>2300</v>
      </c>
      <c r="R38" s="16">
        <f t="shared" si="3"/>
        <v>2300</v>
      </c>
      <c r="S38" s="40"/>
      <c r="T38" s="40"/>
      <c r="U38" s="43"/>
      <c r="W38" s="1"/>
      <c r="X38" s="2" t="s">
        <v>949</v>
      </c>
      <c r="Y38" s="2"/>
      <c r="Z38" s="2"/>
      <c r="AA38" s="2"/>
      <c r="AB38" s="3"/>
      <c r="AC38" s="3">
        <f t="shared" si="7"/>
        <v>0</v>
      </c>
      <c r="AD38" s="4">
        <f t="shared" si="8"/>
        <v>0</v>
      </c>
      <c r="AE38" s="4">
        <f t="shared" si="9"/>
        <v>0</v>
      </c>
      <c r="AF38" s="5">
        <f t="shared" si="10"/>
        <v>0</v>
      </c>
    </row>
    <row r="39" spans="1:32" x14ac:dyDescent="0.25">
      <c r="A39" s="1"/>
      <c r="B39" s="2" t="s">
        <v>897</v>
      </c>
      <c r="C39" s="2"/>
      <c r="D39" s="2"/>
      <c r="E39" s="2"/>
      <c r="F39" s="3"/>
      <c r="G39" s="3">
        <f t="shared" si="11"/>
        <v>0</v>
      </c>
      <c r="H39" s="4">
        <f t="shared" si="0"/>
        <v>0</v>
      </c>
      <c r="I39" s="4">
        <f t="shared" si="1"/>
        <v>0</v>
      </c>
      <c r="J39" s="5">
        <f t="shared" si="2"/>
        <v>0</v>
      </c>
      <c r="L39" s="6">
        <v>45931</v>
      </c>
      <c r="M39" s="2" t="s">
        <v>844</v>
      </c>
      <c r="N39" s="13" t="s">
        <v>980</v>
      </c>
      <c r="O39" s="13" t="s">
        <v>14</v>
      </c>
      <c r="P39" s="2">
        <v>29</v>
      </c>
      <c r="Q39" s="3">
        <v>4003.45</v>
      </c>
      <c r="R39" s="3">
        <f t="shared" si="3"/>
        <v>116100.04999999999</v>
      </c>
      <c r="S39" s="4">
        <f t="shared" si="4"/>
        <v>116100.04999999999</v>
      </c>
      <c r="T39" s="4">
        <f t="shared" si="5"/>
        <v>5805</v>
      </c>
      <c r="U39" s="5">
        <f t="shared" si="6"/>
        <v>121905.04999999999</v>
      </c>
      <c r="W39" s="1"/>
      <c r="X39" s="2" t="s">
        <v>950</v>
      </c>
      <c r="Y39" s="2"/>
      <c r="Z39" s="2"/>
      <c r="AA39" s="2"/>
      <c r="AB39" s="3"/>
      <c r="AC39" s="3">
        <f t="shared" si="7"/>
        <v>0</v>
      </c>
      <c r="AD39" s="4">
        <f t="shared" si="8"/>
        <v>0</v>
      </c>
      <c r="AE39" s="4">
        <f t="shared" si="9"/>
        <v>0</v>
      </c>
      <c r="AF39" s="5">
        <f t="shared" si="10"/>
        <v>0</v>
      </c>
    </row>
    <row r="40" spans="1:32" x14ac:dyDescent="0.25">
      <c r="A40" s="1"/>
      <c r="B40" s="2" t="s">
        <v>898</v>
      </c>
      <c r="C40" s="2"/>
      <c r="D40" s="2"/>
      <c r="E40" s="2"/>
      <c r="F40" s="3"/>
      <c r="G40" s="3">
        <f t="shared" si="11"/>
        <v>0</v>
      </c>
      <c r="H40" s="4">
        <f t="shared" si="0"/>
        <v>0</v>
      </c>
      <c r="I40" s="4">
        <f t="shared" si="1"/>
        <v>0</v>
      </c>
      <c r="J40" s="5">
        <f t="shared" si="2"/>
        <v>0</v>
      </c>
      <c r="L40" s="1"/>
      <c r="M40" s="2" t="s">
        <v>845</v>
      </c>
      <c r="N40" s="2"/>
      <c r="O40" s="2"/>
      <c r="P40" s="2"/>
      <c r="Q40" s="3"/>
      <c r="R40" s="3">
        <f t="shared" si="3"/>
        <v>0</v>
      </c>
      <c r="S40" s="4">
        <f t="shared" si="4"/>
        <v>0</v>
      </c>
      <c r="T40" s="4">
        <f t="shared" si="5"/>
        <v>0</v>
      </c>
      <c r="U40" s="5">
        <f t="shared" si="6"/>
        <v>0</v>
      </c>
      <c r="W40" s="1"/>
      <c r="X40" s="2" t="s">
        <v>951</v>
      </c>
      <c r="Y40" s="2"/>
      <c r="Z40" s="2"/>
      <c r="AA40" s="2"/>
      <c r="AB40" s="3"/>
      <c r="AC40" s="3">
        <f t="shared" si="7"/>
        <v>0</v>
      </c>
      <c r="AD40" s="4">
        <f t="shared" si="8"/>
        <v>0</v>
      </c>
      <c r="AE40" s="4">
        <f t="shared" si="9"/>
        <v>0</v>
      </c>
      <c r="AF40" s="5">
        <f t="shared" si="10"/>
        <v>0</v>
      </c>
    </row>
    <row r="41" spans="1:32" x14ac:dyDescent="0.25">
      <c r="A41" s="1"/>
      <c r="B41" s="2" t="s">
        <v>899</v>
      </c>
      <c r="C41" s="2"/>
      <c r="D41" s="2"/>
      <c r="E41" s="2"/>
      <c r="F41" s="3"/>
      <c r="G41" s="3">
        <f t="shared" si="11"/>
        <v>0</v>
      </c>
      <c r="H41" s="4">
        <f t="shared" si="0"/>
        <v>0</v>
      </c>
      <c r="I41" s="4">
        <f t="shared" si="1"/>
        <v>0</v>
      </c>
      <c r="J41" s="5">
        <f t="shared" si="2"/>
        <v>0</v>
      </c>
      <c r="L41" s="31">
        <v>45932</v>
      </c>
      <c r="M41" s="34" t="s">
        <v>981</v>
      </c>
      <c r="N41" s="37" t="s">
        <v>982</v>
      </c>
      <c r="O41" s="13" t="s">
        <v>14</v>
      </c>
      <c r="P41" s="2">
        <v>2</v>
      </c>
      <c r="Q41" s="3">
        <v>3469</v>
      </c>
      <c r="R41" s="16">
        <f t="shared" si="3"/>
        <v>6938</v>
      </c>
      <c r="S41" s="38">
        <f>R41+R42</f>
        <v>88595</v>
      </c>
      <c r="T41" s="38">
        <f t="shared" si="5"/>
        <v>4430</v>
      </c>
      <c r="U41" s="41">
        <f t="shared" si="6"/>
        <v>93025</v>
      </c>
      <c r="W41" s="1"/>
      <c r="X41" s="2" t="s">
        <v>952</v>
      </c>
      <c r="Y41" s="2"/>
      <c r="Z41" s="2"/>
      <c r="AA41" s="2"/>
      <c r="AB41" s="3"/>
      <c r="AC41" s="3">
        <f t="shared" si="7"/>
        <v>0</v>
      </c>
      <c r="AD41" s="4">
        <f t="shared" si="8"/>
        <v>0</v>
      </c>
      <c r="AE41" s="4">
        <f t="shared" si="9"/>
        <v>0</v>
      </c>
      <c r="AF41" s="5">
        <f t="shared" si="10"/>
        <v>0</v>
      </c>
    </row>
    <row r="42" spans="1:32" x14ac:dyDescent="0.25">
      <c r="A42" s="1"/>
      <c r="B42" s="2" t="s">
        <v>900</v>
      </c>
      <c r="C42" s="2"/>
      <c r="D42" s="2"/>
      <c r="E42" s="2"/>
      <c r="F42" s="3"/>
      <c r="G42" s="3">
        <f t="shared" si="11"/>
        <v>0</v>
      </c>
      <c r="H42" s="4">
        <f t="shared" si="0"/>
        <v>0</v>
      </c>
      <c r="I42" s="4">
        <f t="shared" si="1"/>
        <v>0</v>
      </c>
      <c r="J42" s="5">
        <f t="shared" si="2"/>
        <v>0</v>
      </c>
      <c r="L42" s="33"/>
      <c r="M42" s="36"/>
      <c r="N42" s="36"/>
      <c r="O42" s="13" t="s">
        <v>16</v>
      </c>
      <c r="P42" s="2">
        <v>25</v>
      </c>
      <c r="Q42" s="3">
        <v>3266.28</v>
      </c>
      <c r="R42" s="16">
        <f t="shared" si="3"/>
        <v>81657</v>
      </c>
      <c r="S42" s="40"/>
      <c r="T42" s="40"/>
      <c r="U42" s="43"/>
      <c r="W42" s="1"/>
      <c r="X42" s="2" t="s">
        <v>953</v>
      </c>
      <c r="Y42" s="2"/>
      <c r="Z42" s="2"/>
      <c r="AA42" s="2"/>
      <c r="AB42" s="3"/>
      <c r="AC42" s="3">
        <f t="shared" si="7"/>
        <v>0</v>
      </c>
      <c r="AD42" s="4">
        <f t="shared" si="8"/>
        <v>0</v>
      </c>
      <c r="AE42" s="4">
        <f t="shared" si="9"/>
        <v>0</v>
      </c>
      <c r="AF42" s="5">
        <f t="shared" si="10"/>
        <v>0</v>
      </c>
    </row>
    <row r="43" spans="1:32" x14ac:dyDescent="0.25">
      <c r="A43" s="1"/>
      <c r="B43" s="2" t="s">
        <v>901</v>
      </c>
      <c r="C43" s="2"/>
      <c r="D43" s="2"/>
      <c r="E43" s="2"/>
      <c r="F43" s="3"/>
      <c r="G43" s="3">
        <f t="shared" si="11"/>
        <v>0</v>
      </c>
      <c r="H43" s="4">
        <f t="shared" si="0"/>
        <v>0</v>
      </c>
      <c r="I43" s="4">
        <f t="shared" si="1"/>
        <v>0</v>
      </c>
      <c r="J43" s="5">
        <f t="shared" si="2"/>
        <v>0</v>
      </c>
      <c r="L43" s="6">
        <v>45932</v>
      </c>
      <c r="M43" s="2" t="s">
        <v>1001</v>
      </c>
      <c r="N43" s="13" t="s">
        <v>983</v>
      </c>
      <c r="O43" s="13" t="s">
        <v>984</v>
      </c>
      <c r="P43" s="2"/>
      <c r="Q43" s="3"/>
      <c r="R43" s="3">
        <f t="shared" si="3"/>
        <v>0</v>
      </c>
      <c r="S43" s="4">
        <v>152219</v>
      </c>
      <c r="T43" s="4">
        <f t="shared" si="5"/>
        <v>7611</v>
      </c>
      <c r="U43" s="5">
        <f t="shared" si="6"/>
        <v>159830</v>
      </c>
      <c r="W43" s="1"/>
      <c r="X43" s="2" t="s">
        <v>954</v>
      </c>
      <c r="Y43" s="2"/>
      <c r="Z43" s="2"/>
      <c r="AA43" s="2"/>
      <c r="AB43" s="3"/>
      <c r="AC43" s="3">
        <f t="shared" si="7"/>
        <v>0</v>
      </c>
      <c r="AD43" s="4">
        <f t="shared" si="8"/>
        <v>0</v>
      </c>
      <c r="AE43" s="4">
        <f t="shared" si="9"/>
        <v>0</v>
      </c>
      <c r="AF43" s="5">
        <f t="shared" si="10"/>
        <v>0</v>
      </c>
    </row>
    <row r="44" spans="1:32" x14ac:dyDescent="0.25">
      <c r="A44" s="1"/>
      <c r="B44" s="2" t="s">
        <v>902</v>
      </c>
      <c r="C44" s="2"/>
      <c r="D44" s="2"/>
      <c r="E44" s="2"/>
      <c r="F44" s="3"/>
      <c r="G44" s="3">
        <f t="shared" si="11"/>
        <v>0</v>
      </c>
      <c r="H44" s="4">
        <f t="shared" si="0"/>
        <v>0</v>
      </c>
      <c r="I44" s="4">
        <f t="shared" si="1"/>
        <v>0</v>
      </c>
      <c r="J44" s="5">
        <f t="shared" si="2"/>
        <v>0</v>
      </c>
      <c r="L44" s="6">
        <v>45933</v>
      </c>
      <c r="M44" s="2" t="s">
        <v>846</v>
      </c>
      <c r="N44" s="13" t="s">
        <v>985</v>
      </c>
      <c r="O44" s="13" t="s">
        <v>14</v>
      </c>
      <c r="P44" s="2">
        <v>8</v>
      </c>
      <c r="Q44" s="3">
        <v>3053.63</v>
      </c>
      <c r="R44" s="3">
        <f t="shared" si="3"/>
        <v>24429.040000000001</v>
      </c>
      <c r="S44" s="4">
        <f t="shared" si="4"/>
        <v>24429.040000000001</v>
      </c>
      <c r="T44" s="4">
        <f t="shared" si="5"/>
        <v>1221</v>
      </c>
      <c r="U44" s="5">
        <f t="shared" si="6"/>
        <v>25650.04</v>
      </c>
      <c r="W44" s="1"/>
      <c r="X44" s="2" t="s">
        <v>955</v>
      </c>
      <c r="Y44" s="2"/>
      <c r="Z44" s="2"/>
      <c r="AA44" s="2"/>
      <c r="AB44" s="3"/>
      <c r="AC44" s="3">
        <f t="shared" si="7"/>
        <v>0</v>
      </c>
      <c r="AD44" s="4">
        <f t="shared" si="8"/>
        <v>0</v>
      </c>
      <c r="AE44" s="4">
        <f t="shared" si="9"/>
        <v>0</v>
      </c>
      <c r="AF44" s="5">
        <f t="shared" si="10"/>
        <v>0</v>
      </c>
    </row>
    <row r="45" spans="1:32" x14ac:dyDescent="0.25">
      <c r="A45" s="1"/>
      <c r="B45" s="2" t="s">
        <v>903</v>
      </c>
      <c r="C45" s="2"/>
      <c r="D45" s="2"/>
      <c r="E45" s="2"/>
      <c r="F45" s="3"/>
      <c r="G45" s="3">
        <f t="shared" si="11"/>
        <v>0</v>
      </c>
      <c r="H45" s="4">
        <f t="shared" si="0"/>
        <v>0</v>
      </c>
      <c r="I45" s="4">
        <f t="shared" si="1"/>
        <v>0</v>
      </c>
      <c r="J45" s="5">
        <f t="shared" si="2"/>
        <v>0</v>
      </c>
      <c r="L45" s="1"/>
      <c r="M45" s="2" t="s">
        <v>847</v>
      </c>
      <c r="N45" s="2"/>
      <c r="O45" s="2"/>
      <c r="P45" s="2"/>
      <c r="Q45" s="3"/>
      <c r="R45" s="3">
        <f t="shared" si="3"/>
        <v>0</v>
      </c>
      <c r="S45" s="4">
        <f t="shared" si="4"/>
        <v>0</v>
      </c>
      <c r="T45" s="4">
        <f t="shared" si="5"/>
        <v>0</v>
      </c>
      <c r="U45" s="5">
        <f t="shared" si="6"/>
        <v>0</v>
      </c>
      <c r="W45" s="1"/>
      <c r="X45" s="2" t="s">
        <v>956</v>
      </c>
      <c r="Y45" s="2"/>
      <c r="Z45" s="2"/>
      <c r="AA45" s="2"/>
      <c r="AB45" s="3"/>
      <c r="AC45" s="3">
        <f t="shared" si="7"/>
        <v>0</v>
      </c>
      <c r="AD45" s="4">
        <f t="shared" si="8"/>
        <v>0</v>
      </c>
      <c r="AE45" s="4">
        <f t="shared" si="9"/>
        <v>0</v>
      </c>
      <c r="AF45" s="5">
        <f t="shared" si="10"/>
        <v>0</v>
      </c>
    </row>
    <row r="46" spans="1:32" x14ac:dyDescent="0.25">
      <c r="A46" s="1"/>
      <c r="B46" s="2" t="s">
        <v>904</v>
      </c>
      <c r="C46" s="2"/>
      <c r="D46" s="2"/>
      <c r="E46" s="2"/>
      <c r="F46" s="3"/>
      <c r="G46" s="3">
        <f t="shared" si="11"/>
        <v>0</v>
      </c>
      <c r="H46" s="4">
        <f t="shared" si="0"/>
        <v>0</v>
      </c>
      <c r="I46" s="4">
        <f t="shared" si="1"/>
        <v>0</v>
      </c>
      <c r="J46" s="5">
        <f t="shared" si="2"/>
        <v>0</v>
      </c>
      <c r="L46" s="1"/>
      <c r="M46" s="2" t="s">
        <v>848</v>
      </c>
      <c r="N46" s="2"/>
      <c r="O46" s="2"/>
      <c r="P46" s="2"/>
      <c r="Q46" s="3"/>
      <c r="R46" s="3">
        <f t="shared" si="3"/>
        <v>0</v>
      </c>
      <c r="S46" s="4">
        <f t="shared" si="4"/>
        <v>0</v>
      </c>
      <c r="T46" s="4">
        <f t="shared" si="5"/>
        <v>0</v>
      </c>
      <c r="U46" s="5">
        <f t="shared" si="6"/>
        <v>0</v>
      </c>
      <c r="W46" s="1"/>
      <c r="X46" s="2" t="s">
        <v>957</v>
      </c>
      <c r="Y46" s="2"/>
      <c r="Z46" s="2"/>
      <c r="AA46" s="2"/>
      <c r="AB46" s="3"/>
      <c r="AC46" s="3">
        <f t="shared" si="7"/>
        <v>0</v>
      </c>
      <c r="AD46" s="4">
        <f t="shared" si="8"/>
        <v>0</v>
      </c>
      <c r="AE46" s="4">
        <f t="shared" si="9"/>
        <v>0</v>
      </c>
      <c r="AF46" s="5">
        <f t="shared" si="10"/>
        <v>0</v>
      </c>
    </row>
    <row r="47" spans="1:32" x14ac:dyDescent="0.25">
      <c r="A47" s="1"/>
      <c r="B47" s="2" t="s">
        <v>905</v>
      </c>
      <c r="C47" s="2"/>
      <c r="D47" s="2"/>
      <c r="E47" s="2"/>
      <c r="F47" s="3"/>
      <c r="G47" s="3">
        <f t="shared" si="11"/>
        <v>0</v>
      </c>
      <c r="H47" s="4">
        <f t="shared" si="0"/>
        <v>0</v>
      </c>
      <c r="I47" s="4">
        <f t="shared" si="1"/>
        <v>0</v>
      </c>
      <c r="J47" s="5">
        <f t="shared" si="2"/>
        <v>0</v>
      </c>
      <c r="L47" s="1"/>
      <c r="M47" s="2" t="s">
        <v>849</v>
      </c>
      <c r="N47" s="2"/>
      <c r="O47" s="2"/>
      <c r="P47" s="2"/>
      <c r="Q47" s="3"/>
      <c r="R47" s="3">
        <f t="shared" si="3"/>
        <v>0</v>
      </c>
      <c r="S47" s="4">
        <f t="shared" si="4"/>
        <v>0</v>
      </c>
      <c r="T47" s="4">
        <f t="shared" si="5"/>
        <v>0</v>
      </c>
      <c r="U47" s="5">
        <f t="shared" si="6"/>
        <v>0</v>
      </c>
      <c r="W47" s="1"/>
      <c r="X47" s="2" t="s">
        <v>958</v>
      </c>
      <c r="Y47" s="2"/>
      <c r="Z47" s="2"/>
      <c r="AA47" s="2"/>
      <c r="AB47" s="3"/>
      <c r="AC47" s="3">
        <f t="shared" si="7"/>
        <v>0</v>
      </c>
      <c r="AD47" s="4">
        <f t="shared" si="8"/>
        <v>0</v>
      </c>
      <c r="AE47" s="4">
        <f t="shared" si="9"/>
        <v>0</v>
      </c>
      <c r="AF47" s="5">
        <f t="shared" si="10"/>
        <v>0</v>
      </c>
    </row>
    <row r="48" spans="1:32" x14ac:dyDescent="0.25">
      <c r="A48" s="1"/>
      <c r="B48" s="2" t="s">
        <v>906</v>
      </c>
      <c r="C48" s="2"/>
      <c r="D48" s="2"/>
      <c r="E48" s="2"/>
      <c r="F48" s="3"/>
      <c r="G48" s="3">
        <f t="shared" si="11"/>
        <v>0</v>
      </c>
      <c r="H48" s="4">
        <f t="shared" si="0"/>
        <v>0</v>
      </c>
      <c r="I48" s="4">
        <f t="shared" si="1"/>
        <v>0</v>
      </c>
      <c r="J48" s="5">
        <f t="shared" si="2"/>
        <v>0</v>
      </c>
      <c r="L48" s="1"/>
      <c r="M48" s="2" t="s">
        <v>850</v>
      </c>
      <c r="N48" s="2"/>
      <c r="O48" s="2"/>
      <c r="P48" s="2"/>
      <c r="Q48" s="3"/>
      <c r="R48" s="3">
        <f t="shared" si="3"/>
        <v>0</v>
      </c>
      <c r="S48" s="4">
        <f t="shared" si="4"/>
        <v>0</v>
      </c>
      <c r="T48" s="4">
        <f t="shared" si="5"/>
        <v>0</v>
      </c>
      <c r="U48" s="5">
        <f t="shared" si="6"/>
        <v>0</v>
      </c>
      <c r="W48" s="1"/>
      <c r="X48" s="2" t="s">
        <v>959</v>
      </c>
      <c r="Y48" s="2"/>
      <c r="Z48" s="2"/>
      <c r="AA48" s="2"/>
      <c r="AB48" s="3"/>
      <c r="AC48" s="3">
        <f t="shared" si="7"/>
        <v>0</v>
      </c>
      <c r="AD48" s="4">
        <f t="shared" si="8"/>
        <v>0</v>
      </c>
      <c r="AE48" s="4">
        <f t="shared" si="9"/>
        <v>0</v>
      </c>
      <c r="AF48" s="5">
        <f t="shared" si="10"/>
        <v>0</v>
      </c>
    </row>
    <row r="49" spans="1:32" x14ac:dyDescent="0.25">
      <c r="A49" s="1"/>
      <c r="B49" s="2" t="s">
        <v>907</v>
      </c>
      <c r="C49" s="2"/>
      <c r="D49" s="2"/>
      <c r="E49" s="2"/>
      <c r="F49" s="3"/>
      <c r="G49" s="3">
        <f t="shared" si="11"/>
        <v>0</v>
      </c>
      <c r="H49" s="4">
        <f t="shared" si="0"/>
        <v>0</v>
      </c>
      <c r="I49" s="4">
        <f t="shared" si="1"/>
        <v>0</v>
      </c>
      <c r="J49" s="5">
        <f t="shared" si="2"/>
        <v>0</v>
      </c>
      <c r="L49" s="1"/>
      <c r="M49" s="2" t="s">
        <v>851</v>
      </c>
      <c r="N49" s="2"/>
      <c r="O49" s="2"/>
      <c r="P49" s="2"/>
      <c r="Q49" s="3"/>
      <c r="R49" s="3">
        <f t="shared" si="3"/>
        <v>0</v>
      </c>
      <c r="S49" s="4">
        <f t="shared" si="4"/>
        <v>0</v>
      </c>
      <c r="T49" s="4">
        <f t="shared" si="5"/>
        <v>0</v>
      </c>
      <c r="U49" s="5">
        <f t="shared" si="6"/>
        <v>0</v>
      </c>
      <c r="W49" s="1"/>
      <c r="X49" s="2" t="s">
        <v>960</v>
      </c>
      <c r="Y49" s="2"/>
      <c r="Z49" s="2"/>
      <c r="AA49" s="2"/>
      <c r="AB49" s="3"/>
      <c r="AC49" s="3">
        <f t="shared" si="7"/>
        <v>0</v>
      </c>
      <c r="AD49" s="4">
        <f t="shared" si="8"/>
        <v>0</v>
      </c>
      <c r="AE49" s="4">
        <f t="shared" si="9"/>
        <v>0</v>
      </c>
      <c r="AF49" s="5">
        <f t="shared" si="10"/>
        <v>0</v>
      </c>
    </row>
    <row r="50" spans="1:32" x14ac:dyDescent="0.25">
      <c r="A50" s="1"/>
      <c r="B50" s="2" t="s">
        <v>908</v>
      </c>
      <c r="C50" s="2"/>
      <c r="D50" s="2"/>
      <c r="E50" s="2"/>
      <c r="F50" s="3"/>
      <c r="G50" s="3">
        <f t="shared" si="11"/>
        <v>0</v>
      </c>
      <c r="H50" s="4">
        <f t="shared" si="0"/>
        <v>0</v>
      </c>
      <c r="I50" s="4">
        <f t="shared" si="1"/>
        <v>0</v>
      </c>
      <c r="J50" s="5">
        <f t="shared" si="2"/>
        <v>0</v>
      </c>
      <c r="L50" s="1"/>
      <c r="M50" s="2" t="s">
        <v>852</v>
      </c>
      <c r="N50" s="2"/>
      <c r="O50" s="2"/>
      <c r="P50" s="2"/>
      <c r="Q50" s="3"/>
      <c r="R50" s="3">
        <f t="shared" si="3"/>
        <v>0</v>
      </c>
      <c r="S50" s="4">
        <f t="shared" si="4"/>
        <v>0</v>
      </c>
      <c r="T50" s="4">
        <f t="shared" si="5"/>
        <v>0</v>
      </c>
      <c r="U50" s="5">
        <f t="shared" si="6"/>
        <v>0</v>
      </c>
      <c r="W50" s="1"/>
      <c r="X50" s="2" t="s">
        <v>961</v>
      </c>
      <c r="Y50" s="2"/>
      <c r="Z50" s="2"/>
      <c r="AA50" s="2"/>
      <c r="AB50" s="3"/>
      <c r="AC50" s="3">
        <f t="shared" si="7"/>
        <v>0</v>
      </c>
      <c r="AD50" s="4">
        <f t="shared" si="8"/>
        <v>0</v>
      </c>
      <c r="AE50" s="4">
        <f t="shared" si="9"/>
        <v>0</v>
      </c>
      <c r="AF50" s="5">
        <f t="shared" si="10"/>
        <v>0</v>
      </c>
    </row>
    <row r="51" spans="1:32" x14ac:dyDescent="0.25">
      <c r="A51" s="1"/>
      <c r="B51" s="2" t="s">
        <v>909</v>
      </c>
      <c r="C51" s="2"/>
      <c r="D51" s="2"/>
      <c r="E51" s="2"/>
      <c r="F51" s="3"/>
      <c r="G51" s="3">
        <f t="shared" si="11"/>
        <v>0</v>
      </c>
      <c r="H51" s="4">
        <f t="shared" si="0"/>
        <v>0</v>
      </c>
      <c r="I51" s="4">
        <f t="shared" si="1"/>
        <v>0</v>
      </c>
      <c r="J51" s="5">
        <f t="shared" si="2"/>
        <v>0</v>
      </c>
      <c r="L51" s="6">
        <v>45939</v>
      </c>
      <c r="M51" s="2" t="s">
        <v>853</v>
      </c>
      <c r="N51" s="13" t="s">
        <v>986</v>
      </c>
      <c r="O51" s="13" t="s">
        <v>14</v>
      </c>
      <c r="P51" s="2">
        <v>1</v>
      </c>
      <c r="Q51" s="3">
        <v>6900</v>
      </c>
      <c r="R51" s="3">
        <f t="shared" si="3"/>
        <v>6900</v>
      </c>
      <c r="S51" s="4">
        <f t="shared" si="4"/>
        <v>6900</v>
      </c>
      <c r="T51" s="4">
        <f t="shared" si="5"/>
        <v>345</v>
      </c>
      <c r="U51" s="5">
        <f t="shared" si="6"/>
        <v>7245</v>
      </c>
      <c r="W51" s="1"/>
      <c r="X51" s="2" t="s">
        <v>962</v>
      </c>
      <c r="Y51" s="2"/>
      <c r="Z51" s="2"/>
      <c r="AA51" s="2"/>
      <c r="AB51" s="3"/>
      <c r="AC51" s="3">
        <f t="shared" si="7"/>
        <v>0</v>
      </c>
      <c r="AD51" s="4">
        <f t="shared" si="8"/>
        <v>0</v>
      </c>
      <c r="AE51" s="4">
        <f t="shared" si="9"/>
        <v>0</v>
      </c>
      <c r="AF51" s="5">
        <f t="shared" si="10"/>
        <v>0</v>
      </c>
    </row>
    <row r="52" spans="1:32" ht="16.5" thickBot="1" x14ac:dyDescent="0.3">
      <c r="A52" s="1"/>
      <c r="B52" s="2" t="s">
        <v>910</v>
      </c>
      <c r="C52" s="2"/>
      <c r="D52" s="2"/>
      <c r="E52" s="2"/>
      <c r="F52" s="3"/>
      <c r="G52" s="3">
        <f t="shared" si="11"/>
        <v>0</v>
      </c>
      <c r="H52" s="4">
        <f t="shared" si="0"/>
        <v>0</v>
      </c>
      <c r="I52" s="4">
        <f t="shared" si="1"/>
        <v>0</v>
      </c>
      <c r="J52" s="5">
        <f t="shared" si="2"/>
        <v>0</v>
      </c>
      <c r="L52" s="17">
        <v>45939</v>
      </c>
      <c r="M52" s="2" t="s">
        <v>854</v>
      </c>
      <c r="N52" s="13" t="s">
        <v>987</v>
      </c>
      <c r="O52" s="13" t="s">
        <v>14</v>
      </c>
      <c r="P52" s="2">
        <v>1</v>
      </c>
      <c r="Q52" s="3">
        <v>4250</v>
      </c>
      <c r="R52" s="3">
        <f t="shared" si="3"/>
        <v>4250</v>
      </c>
      <c r="S52" s="4">
        <f t="shared" si="4"/>
        <v>4250</v>
      </c>
      <c r="T52" s="4">
        <f t="shared" si="5"/>
        <v>213</v>
      </c>
      <c r="U52" s="5">
        <f t="shared" si="6"/>
        <v>4463</v>
      </c>
      <c r="W52" s="7"/>
      <c r="X52" s="2" t="s">
        <v>963</v>
      </c>
      <c r="Y52" s="8"/>
      <c r="Z52" s="8"/>
      <c r="AA52" s="8"/>
      <c r="AB52" s="9"/>
      <c r="AC52" s="9">
        <f t="shared" si="7"/>
        <v>0</v>
      </c>
      <c r="AD52" s="10">
        <f t="shared" si="8"/>
        <v>0</v>
      </c>
      <c r="AE52" s="10">
        <f t="shared" si="9"/>
        <v>0</v>
      </c>
      <c r="AF52" s="11">
        <f t="shared" si="10"/>
        <v>0</v>
      </c>
    </row>
    <row r="53" spans="1:32" x14ac:dyDescent="0.25">
      <c r="A53" s="1"/>
      <c r="B53" s="2" t="s">
        <v>911</v>
      </c>
      <c r="C53" s="2"/>
      <c r="D53" s="2"/>
      <c r="E53" s="2"/>
      <c r="F53" s="3"/>
      <c r="G53" s="3">
        <f t="shared" si="11"/>
        <v>0</v>
      </c>
      <c r="H53" s="4">
        <f t="shared" si="0"/>
        <v>0</v>
      </c>
      <c r="I53" s="4">
        <f t="shared" si="1"/>
        <v>0</v>
      </c>
      <c r="J53" s="5">
        <f t="shared" si="2"/>
        <v>0</v>
      </c>
      <c r="L53" s="44" t="s">
        <v>1002</v>
      </c>
      <c r="M53" s="34" t="s">
        <v>988</v>
      </c>
      <c r="N53" s="37" t="s">
        <v>989</v>
      </c>
      <c r="O53" s="13" t="s">
        <v>14</v>
      </c>
      <c r="P53" s="2">
        <v>1</v>
      </c>
      <c r="Q53" s="3">
        <v>10900</v>
      </c>
      <c r="R53" s="16">
        <f t="shared" si="3"/>
        <v>10900</v>
      </c>
      <c r="S53" s="38">
        <f>R53+R54</f>
        <v>14000</v>
      </c>
      <c r="T53" s="38"/>
      <c r="U53" s="41">
        <f t="shared" si="6"/>
        <v>14000</v>
      </c>
      <c r="AE53" s="14">
        <f>SUM(AE3:AE52)</f>
        <v>100478</v>
      </c>
    </row>
    <row r="54" spans="1:32" x14ac:dyDescent="0.25">
      <c r="A54" s="1"/>
      <c r="B54" s="2" t="s">
        <v>912</v>
      </c>
      <c r="C54" s="2"/>
      <c r="D54" s="2"/>
      <c r="E54" s="2"/>
      <c r="F54" s="3"/>
      <c r="G54" s="3">
        <f t="shared" si="11"/>
        <v>0</v>
      </c>
      <c r="H54" s="4">
        <f t="shared" si="0"/>
        <v>0</v>
      </c>
      <c r="I54" s="4">
        <f t="shared" si="1"/>
        <v>0</v>
      </c>
      <c r="J54" s="5">
        <f t="shared" si="2"/>
        <v>0</v>
      </c>
      <c r="L54" s="33"/>
      <c r="M54" s="36"/>
      <c r="N54" s="36"/>
      <c r="O54" s="13" t="s">
        <v>16</v>
      </c>
      <c r="P54" s="2">
        <v>1</v>
      </c>
      <c r="Q54" s="3">
        <v>3100</v>
      </c>
      <c r="R54" s="16">
        <f t="shared" si="3"/>
        <v>3100</v>
      </c>
      <c r="S54" s="40"/>
      <c r="T54" s="40"/>
      <c r="U54" s="43"/>
    </row>
    <row r="55" spans="1:32" ht="16.5" thickBot="1" x14ac:dyDescent="0.3">
      <c r="A55" s="7"/>
      <c r="B55" s="2" t="s">
        <v>913</v>
      </c>
      <c r="C55" s="8"/>
      <c r="D55" s="8"/>
      <c r="E55" s="8"/>
      <c r="F55" s="9"/>
      <c r="G55" s="9">
        <f t="shared" si="11"/>
        <v>0</v>
      </c>
      <c r="H55" s="10">
        <f t="shared" si="0"/>
        <v>0</v>
      </c>
      <c r="I55" s="10">
        <f t="shared" si="1"/>
        <v>0</v>
      </c>
      <c r="J55" s="11">
        <f t="shared" si="2"/>
        <v>0</v>
      </c>
      <c r="L55" s="6">
        <v>45943</v>
      </c>
      <c r="M55" s="2" t="s">
        <v>855</v>
      </c>
      <c r="N55" s="13" t="s">
        <v>990</v>
      </c>
      <c r="O55" s="13" t="s">
        <v>14</v>
      </c>
      <c r="P55" s="2">
        <v>1</v>
      </c>
      <c r="Q55" s="3">
        <v>4700</v>
      </c>
      <c r="R55" s="3">
        <f t="shared" si="3"/>
        <v>4700</v>
      </c>
      <c r="S55" s="4">
        <f t="shared" si="4"/>
        <v>4700</v>
      </c>
      <c r="T55" s="4">
        <f t="shared" si="5"/>
        <v>235</v>
      </c>
      <c r="U55" s="5">
        <f t="shared" si="6"/>
        <v>4935</v>
      </c>
    </row>
    <row r="56" spans="1:32" ht="16.5" thickBot="1" x14ac:dyDescent="0.3">
      <c r="I56" s="14">
        <f>SUM(I3:I55)+I59+I60+I61+I62</f>
        <v>115995</v>
      </c>
      <c r="L56" s="15" t="s">
        <v>991</v>
      </c>
      <c r="M56" s="2" t="s">
        <v>856</v>
      </c>
      <c r="N56" s="2"/>
      <c r="O56" s="2"/>
      <c r="P56" s="2"/>
      <c r="Q56" s="3"/>
      <c r="R56" s="3">
        <f t="shared" si="3"/>
        <v>0</v>
      </c>
      <c r="S56" s="4">
        <f t="shared" si="4"/>
        <v>0</v>
      </c>
      <c r="T56" s="4">
        <f t="shared" si="5"/>
        <v>0</v>
      </c>
      <c r="U56" s="5">
        <f t="shared" si="6"/>
        <v>0</v>
      </c>
    </row>
    <row r="57" spans="1:32" x14ac:dyDescent="0.25">
      <c r="A57" s="50" t="s">
        <v>20</v>
      </c>
      <c r="B57" s="29"/>
      <c r="C57" s="29"/>
      <c r="D57" s="29"/>
      <c r="E57" s="29"/>
      <c r="F57" s="29"/>
      <c r="G57" s="29"/>
      <c r="H57" s="29"/>
      <c r="I57" s="29"/>
      <c r="J57" s="29"/>
      <c r="L57" s="6">
        <v>45944</v>
      </c>
      <c r="M57" s="2" t="s">
        <v>857</v>
      </c>
      <c r="N57" s="13" t="s">
        <v>992</v>
      </c>
      <c r="O57" s="13" t="s">
        <v>993</v>
      </c>
      <c r="P57" s="2">
        <v>1</v>
      </c>
      <c r="Q57" s="3">
        <v>3000</v>
      </c>
      <c r="R57" s="3">
        <f t="shared" si="3"/>
        <v>3000</v>
      </c>
      <c r="S57" s="4">
        <f t="shared" si="4"/>
        <v>3000</v>
      </c>
      <c r="T57" s="4">
        <f t="shared" si="5"/>
        <v>150</v>
      </c>
      <c r="U57" s="5">
        <f t="shared" si="6"/>
        <v>3150</v>
      </c>
    </row>
    <row r="58" spans="1:32" x14ac:dyDescent="0.25">
      <c r="A58" s="1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3" t="s">
        <v>6</v>
      </c>
      <c r="G58" s="3" t="s">
        <v>7</v>
      </c>
      <c r="H58" s="4" t="s">
        <v>12</v>
      </c>
      <c r="I58" s="4" t="s">
        <v>9</v>
      </c>
      <c r="J58" s="4" t="s">
        <v>13</v>
      </c>
      <c r="L58" s="1"/>
      <c r="M58" s="2" t="s">
        <v>858</v>
      </c>
      <c r="N58" s="2"/>
      <c r="O58" s="2"/>
      <c r="P58" s="2"/>
      <c r="Q58" s="3"/>
      <c r="R58" s="3">
        <f t="shared" si="3"/>
        <v>0</v>
      </c>
      <c r="S58" s="4">
        <f t="shared" si="4"/>
        <v>0</v>
      </c>
      <c r="T58" s="4">
        <f t="shared" si="5"/>
        <v>0</v>
      </c>
      <c r="U58" s="5">
        <f t="shared" si="6"/>
        <v>0</v>
      </c>
    </row>
    <row r="59" spans="1:32" x14ac:dyDescent="0.25">
      <c r="A59" s="6">
        <v>45918</v>
      </c>
      <c r="B59" s="2" t="s">
        <v>964</v>
      </c>
      <c r="C59" s="2"/>
      <c r="D59" s="13" t="s">
        <v>14</v>
      </c>
      <c r="E59" s="2">
        <v>10</v>
      </c>
      <c r="F59" s="3">
        <v>2366</v>
      </c>
      <c r="G59" s="3">
        <f t="shared" ref="G59:G62" si="21">E59*F59</f>
        <v>23660</v>
      </c>
      <c r="H59" s="4">
        <f t="shared" ref="H59:H62" si="22">G59</f>
        <v>23660</v>
      </c>
      <c r="I59" s="12">
        <f>H59-ROUND(H59/1.05,0)</f>
        <v>1127</v>
      </c>
      <c r="J59" s="4"/>
      <c r="L59" s="1"/>
      <c r="M59" s="2" t="s">
        <v>859</v>
      </c>
      <c r="N59" s="2"/>
      <c r="O59" s="2"/>
      <c r="P59" s="2"/>
      <c r="Q59" s="3"/>
      <c r="R59" s="3">
        <f t="shared" si="3"/>
        <v>0</v>
      </c>
      <c r="S59" s="4">
        <f t="shared" si="4"/>
        <v>0</v>
      </c>
      <c r="T59" s="4">
        <f t="shared" si="5"/>
        <v>0</v>
      </c>
      <c r="U59" s="5">
        <f t="shared" si="6"/>
        <v>0</v>
      </c>
    </row>
    <row r="60" spans="1:32" x14ac:dyDescent="0.25">
      <c r="A60" s="6">
        <v>45930</v>
      </c>
      <c r="B60" s="2" t="s">
        <v>965</v>
      </c>
      <c r="C60" s="2"/>
      <c r="D60" s="13" t="s">
        <v>14</v>
      </c>
      <c r="E60" s="2">
        <v>5</v>
      </c>
      <c r="F60" s="3">
        <v>2366</v>
      </c>
      <c r="G60" s="3">
        <f t="shared" si="21"/>
        <v>11830</v>
      </c>
      <c r="H60" s="4">
        <f t="shared" si="22"/>
        <v>11830</v>
      </c>
      <c r="I60" s="12">
        <f t="shared" ref="I60:I62" si="23">H60-ROUND(H60/1.05,0)</f>
        <v>563</v>
      </c>
      <c r="J60" s="4"/>
      <c r="L60" s="1"/>
      <c r="M60" s="2" t="s">
        <v>860</v>
      </c>
      <c r="N60" s="2"/>
      <c r="O60" s="2"/>
      <c r="P60" s="2"/>
      <c r="Q60" s="3"/>
      <c r="R60" s="3">
        <f t="shared" si="3"/>
        <v>0</v>
      </c>
      <c r="S60" s="4">
        <f t="shared" si="4"/>
        <v>0</v>
      </c>
      <c r="T60" s="4">
        <f t="shared" si="5"/>
        <v>0</v>
      </c>
      <c r="U60" s="5">
        <f t="shared" si="6"/>
        <v>0</v>
      </c>
    </row>
    <row r="61" spans="1:32" x14ac:dyDescent="0.25">
      <c r="A61" s="6">
        <v>45938</v>
      </c>
      <c r="B61" s="2" t="s">
        <v>966</v>
      </c>
      <c r="C61" s="2"/>
      <c r="D61" s="13" t="s">
        <v>14</v>
      </c>
      <c r="E61" s="2">
        <v>5</v>
      </c>
      <c r="F61" s="3">
        <v>2366</v>
      </c>
      <c r="G61" s="3">
        <f t="shared" si="21"/>
        <v>11830</v>
      </c>
      <c r="H61" s="4">
        <f t="shared" si="22"/>
        <v>11830</v>
      </c>
      <c r="I61" s="12">
        <f t="shared" si="23"/>
        <v>563</v>
      </c>
      <c r="J61" s="4"/>
      <c r="L61" s="1"/>
      <c r="M61" s="2" t="s">
        <v>861</v>
      </c>
      <c r="N61" s="2"/>
      <c r="O61" s="2"/>
      <c r="P61" s="2"/>
      <c r="Q61" s="3"/>
      <c r="R61" s="3">
        <f t="shared" si="3"/>
        <v>0</v>
      </c>
      <c r="S61" s="4">
        <f t="shared" si="4"/>
        <v>0</v>
      </c>
      <c r="T61" s="4">
        <f t="shared" si="5"/>
        <v>0</v>
      </c>
      <c r="U61" s="5">
        <f t="shared" si="6"/>
        <v>0</v>
      </c>
    </row>
    <row r="62" spans="1:32" x14ac:dyDescent="0.25">
      <c r="A62" s="1"/>
      <c r="B62" s="2" t="s">
        <v>967</v>
      </c>
      <c r="C62" s="2"/>
      <c r="D62" s="13"/>
      <c r="E62" s="2"/>
      <c r="F62" s="3"/>
      <c r="G62" s="3">
        <f t="shared" si="21"/>
        <v>0</v>
      </c>
      <c r="H62" s="4">
        <f t="shared" si="22"/>
        <v>0</v>
      </c>
      <c r="I62" s="12">
        <f t="shared" si="23"/>
        <v>0</v>
      </c>
      <c r="J62" s="4"/>
      <c r="L62" s="1"/>
      <c r="M62" s="2" t="s">
        <v>862</v>
      </c>
      <c r="N62" s="2"/>
      <c r="O62" s="2"/>
      <c r="P62" s="2"/>
      <c r="Q62" s="3"/>
      <c r="R62" s="3">
        <f t="shared" si="3"/>
        <v>0</v>
      </c>
      <c r="S62" s="4">
        <f t="shared" si="4"/>
        <v>0</v>
      </c>
      <c r="T62" s="4">
        <f t="shared" si="5"/>
        <v>0</v>
      </c>
      <c r="U62" s="5">
        <f t="shared" si="6"/>
        <v>0</v>
      </c>
    </row>
    <row r="63" spans="1:32" x14ac:dyDescent="0.25">
      <c r="L63" s="1"/>
      <c r="M63" s="2" t="s">
        <v>863</v>
      </c>
      <c r="N63" s="2"/>
      <c r="O63" s="2"/>
      <c r="P63" s="2"/>
      <c r="Q63" s="3"/>
      <c r="R63" s="3">
        <f t="shared" si="3"/>
        <v>0</v>
      </c>
      <c r="S63" s="4">
        <f t="shared" si="4"/>
        <v>0</v>
      </c>
      <c r="T63" s="4">
        <f t="shared" si="5"/>
        <v>0</v>
      </c>
      <c r="U63" s="5">
        <f t="shared" si="6"/>
        <v>0</v>
      </c>
    </row>
    <row r="64" spans="1:32" x14ac:dyDescent="0.25">
      <c r="L64" s="1"/>
      <c r="M64" s="2" t="s">
        <v>864</v>
      </c>
      <c r="N64" s="2"/>
      <c r="O64" s="2"/>
      <c r="P64" s="2"/>
      <c r="Q64" s="3"/>
      <c r="R64" s="3">
        <f t="shared" si="3"/>
        <v>0</v>
      </c>
      <c r="S64" s="4">
        <f t="shared" si="4"/>
        <v>0</v>
      </c>
      <c r="T64" s="4">
        <f t="shared" si="5"/>
        <v>0</v>
      </c>
      <c r="U64" s="5">
        <f t="shared" si="6"/>
        <v>0</v>
      </c>
    </row>
    <row r="65" spans="12:21" ht="16.5" thickBot="1" x14ac:dyDescent="0.3">
      <c r="L65" s="7"/>
      <c r="M65" s="2" t="s">
        <v>865</v>
      </c>
      <c r="N65" s="8"/>
      <c r="O65" s="8"/>
      <c r="P65" s="8"/>
      <c r="Q65" s="9"/>
      <c r="R65" s="9">
        <f t="shared" si="3"/>
        <v>0</v>
      </c>
      <c r="S65" s="10">
        <f t="shared" si="4"/>
        <v>0</v>
      </c>
      <c r="T65" s="10">
        <f t="shared" si="5"/>
        <v>0</v>
      </c>
      <c r="U65" s="11">
        <f t="shared" si="6"/>
        <v>0</v>
      </c>
    </row>
    <row r="66" spans="12:21" x14ac:dyDescent="0.25">
      <c r="T66" s="14">
        <f>SUM(T3:T65)</f>
        <v>118495</v>
      </c>
    </row>
  </sheetData>
  <mergeCells count="70">
    <mergeCell ref="U31:U32"/>
    <mergeCell ref="L28:L30"/>
    <mergeCell ref="M28:M30"/>
    <mergeCell ref="N28:N30"/>
    <mergeCell ref="T28:T30"/>
    <mergeCell ref="S28:S30"/>
    <mergeCell ref="U28:U30"/>
    <mergeCell ref="L31:L32"/>
    <mergeCell ref="M31:M32"/>
    <mergeCell ref="N31:N32"/>
    <mergeCell ref="S31:S32"/>
    <mergeCell ref="T31:T32"/>
    <mergeCell ref="U18:U20"/>
    <mergeCell ref="L10:L11"/>
    <mergeCell ref="M10:M11"/>
    <mergeCell ref="N10:N11"/>
    <mergeCell ref="S10:S11"/>
    <mergeCell ref="T10:T11"/>
    <mergeCell ref="U10:U11"/>
    <mergeCell ref="L18:L20"/>
    <mergeCell ref="M18:M20"/>
    <mergeCell ref="N18:N20"/>
    <mergeCell ref="S18:S20"/>
    <mergeCell ref="T18:T20"/>
    <mergeCell ref="U6:U8"/>
    <mergeCell ref="A12:A14"/>
    <mergeCell ref="B12:B14"/>
    <mergeCell ref="C12:C14"/>
    <mergeCell ref="H12:H14"/>
    <mergeCell ref="I12:I14"/>
    <mergeCell ref="J12:J14"/>
    <mergeCell ref="L6:L8"/>
    <mergeCell ref="M6:M8"/>
    <mergeCell ref="N6:N8"/>
    <mergeCell ref="S6:S8"/>
    <mergeCell ref="T6:T8"/>
    <mergeCell ref="A1:J1"/>
    <mergeCell ref="L1:U1"/>
    <mergeCell ref="W1:AF1"/>
    <mergeCell ref="A57:J57"/>
    <mergeCell ref="A9:A10"/>
    <mergeCell ref="B9:B10"/>
    <mergeCell ref="C9:C10"/>
    <mergeCell ref="H9:H10"/>
    <mergeCell ref="I9:I10"/>
    <mergeCell ref="J9:J10"/>
    <mergeCell ref="L34:L36"/>
    <mergeCell ref="M34:M36"/>
    <mergeCell ref="N34:N36"/>
    <mergeCell ref="S34:S36"/>
    <mergeCell ref="T34:T36"/>
    <mergeCell ref="U34:U36"/>
    <mergeCell ref="U37:U38"/>
    <mergeCell ref="L41:L42"/>
    <mergeCell ref="M41:M42"/>
    <mergeCell ref="N41:N42"/>
    <mergeCell ref="S41:S42"/>
    <mergeCell ref="T41:T42"/>
    <mergeCell ref="U41:U42"/>
    <mergeCell ref="L37:L38"/>
    <mergeCell ref="M37:M38"/>
    <mergeCell ref="N37:N38"/>
    <mergeCell ref="S37:S38"/>
    <mergeCell ref="T37:T38"/>
    <mergeCell ref="U53:U54"/>
    <mergeCell ref="L53:L54"/>
    <mergeCell ref="M53:M54"/>
    <mergeCell ref="N53:N54"/>
    <mergeCell ref="S53:S54"/>
    <mergeCell ref="T53:T54"/>
  </mergeCells>
  <phoneticPr fontId="4" type="noConversion"/>
  <pageMargins left="0" right="0" top="0" bottom="0.25" header="0" footer="0"/>
  <pageSetup paperSize="9" scale="2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12ED-12C4-4C25-8A27-1604B3070F5F}">
  <sheetPr>
    <pageSetUpPr fitToPage="1"/>
  </sheetPr>
  <dimension ref="A1:AF68"/>
  <sheetViews>
    <sheetView workbookViewId="0">
      <selection activeCell="J62" sqref="A1:J62"/>
    </sheetView>
  </sheetViews>
  <sheetFormatPr defaultRowHeight="15.75" x14ac:dyDescent="0.25"/>
  <cols>
    <col min="1" max="6" width="11.25" customWidth="1"/>
    <col min="7" max="7" width="12.5" customWidth="1"/>
    <col min="8" max="8" width="10" bestFit="1" customWidth="1"/>
    <col min="9" max="9" width="9.375" bestFit="1" customWidth="1"/>
    <col min="10" max="10" width="10" bestFit="1" customWidth="1"/>
    <col min="12" max="12" width="10" bestFit="1" customWidth="1"/>
    <col min="13" max="13" width="13.875" customWidth="1"/>
    <col min="17" max="17" width="10.75" bestFit="1" customWidth="1"/>
    <col min="18" max="18" width="11.75" customWidth="1"/>
    <col min="21" max="21" width="11" customWidth="1"/>
    <col min="23" max="23" width="9" bestFit="1" customWidth="1"/>
    <col min="24" max="24" width="11.625" customWidth="1"/>
    <col min="25" max="25" width="7.25" customWidth="1"/>
    <col min="26" max="26" width="5" customWidth="1"/>
    <col min="27" max="27" width="5.75" customWidth="1"/>
    <col min="28" max="28" width="9.625" bestFit="1" customWidth="1"/>
    <col min="29" max="29" width="13.25" customWidth="1"/>
    <col min="32" max="32" width="10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6">
        <v>45839</v>
      </c>
      <c r="B3" s="2" t="s">
        <v>642</v>
      </c>
      <c r="C3" s="13" t="s">
        <v>126</v>
      </c>
      <c r="D3" s="13" t="s">
        <v>14</v>
      </c>
      <c r="E3" s="2">
        <v>408</v>
      </c>
      <c r="F3" s="3">
        <f>G3/E3</f>
        <v>2096.8627450980393</v>
      </c>
      <c r="G3" s="3">
        <v>855520</v>
      </c>
      <c r="H3" s="4">
        <f t="shared" ref="H3:H56" si="0">G3</f>
        <v>855520</v>
      </c>
      <c r="I3" s="4">
        <f t="shared" ref="I3:I56" si="1">ROUND(H3*0.05,0)</f>
        <v>42776</v>
      </c>
      <c r="J3" s="5">
        <f t="shared" ref="J3:J56" si="2">H3+I3</f>
        <v>898296</v>
      </c>
      <c r="L3" s="52">
        <v>45839</v>
      </c>
      <c r="M3" s="59" t="s">
        <v>696</v>
      </c>
      <c r="N3" s="61" t="s">
        <v>720</v>
      </c>
      <c r="O3" s="13" t="s">
        <v>721</v>
      </c>
      <c r="P3" s="2">
        <v>2</v>
      </c>
      <c r="Q3" s="3">
        <v>5037.5</v>
      </c>
      <c r="R3" s="3">
        <f>P3*Q3</f>
        <v>10075</v>
      </c>
      <c r="S3" s="62">
        <v>14075</v>
      </c>
      <c r="T3" s="62">
        <f t="shared" ref="T3:T67" si="3">ROUND(S3*0.05,0)</f>
        <v>704</v>
      </c>
      <c r="U3" s="54">
        <f t="shared" ref="U3:U67" si="4">S3+T3</f>
        <v>14779</v>
      </c>
      <c r="W3" s="6">
        <v>45839</v>
      </c>
      <c r="X3" s="2" t="s">
        <v>626</v>
      </c>
      <c r="Y3" s="13" t="s">
        <v>383</v>
      </c>
      <c r="Z3" s="13" t="s">
        <v>14</v>
      </c>
      <c r="AA3" s="2">
        <v>264</v>
      </c>
      <c r="AB3" s="3">
        <f>AC3/AA3</f>
        <v>2239.7727272727275</v>
      </c>
      <c r="AC3" s="3">
        <v>591300</v>
      </c>
      <c r="AD3" s="4">
        <f t="shared" ref="AD3:AD52" si="5">AC3</f>
        <v>591300</v>
      </c>
      <c r="AE3" s="4">
        <f t="shared" ref="AE3:AE52" si="6">ROUND(AD3*0.05,0)</f>
        <v>29565</v>
      </c>
      <c r="AF3" s="5">
        <f t="shared" ref="AF3:AF52" si="7">AD3+AE3</f>
        <v>620865</v>
      </c>
    </row>
    <row r="4" spans="1:32" x14ac:dyDescent="0.25">
      <c r="A4" s="6">
        <v>45839</v>
      </c>
      <c r="B4" s="2" t="s">
        <v>643</v>
      </c>
      <c r="C4" s="13" t="s">
        <v>127</v>
      </c>
      <c r="D4" s="13" t="s">
        <v>14</v>
      </c>
      <c r="E4" s="2">
        <v>1</v>
      </c>
      <c r="F4" s="3">
        <v>2805</v>
      </c>
      <c r="G4" s="3">
        <f t="shared" ref="G4:G56" si="8">E4*F4</f>
        <v>2805</v>
      </c>
      <c r="H4" s="4">
        <f t="shared" si="0"/>
        <v>2805</v>
      </c>
      <c r="I4" s="4">
        <f t="shared" si="1"/>
        <v>140</v>
      </c>
      <c r="J4" s="5">
        <f t="shared" si="2"/>
        <v>2945</v>
      </c>
      <c r="L4" s="64"/>
      <c r="M4" s="63"/>
      <c r="N4" s="63"/>
      <c r="O4" s="13" t="s">
        <v>722</v>
      </c>
      <c r="P4" s="2">
        <v>1</v>
      </c>
      <c r="Q4" s="3">
        <v>2600</v>
      </c>
      <c r="R4" s="3">
        <f>P4*Q4</f>
        <v>2600</v>
      </c>
      <c r="S4" s="63"/>
      <c r="T4" s="63"/>
      <c r="U4" s="55"/>
      <c r="W4" s="6">
        <v>45856</v>
      </c>
      <c r="X4" s="2" t="s">
        <v>742</v>
      </c>
      <c r="Y4" s="13" t="s">
        <v>383</v>
      </c>
      <c r="Z4" s="13" t="s">
        <v>14</v>
      </c>
      <c r="AA4" s="2">
        <v>137</v>
      </c>
      <c r="AB4" s="3">
        <f>AC4/AA4</f>
        <v>2348.5401459854015</v>
      </c>
      <c r="AC4" s="3">
        <v>321750</v>
      </c>
      <c r="AD4" s="4">
        <f t="shared" si="5"/>
        <v>321750</v>
      </c>
      <c r="AE4" s="4">
        <f t="shared" si="6"/>
        <v>16088</v>
      </c>
      <c r="AF4" s="5">
        <f t="shared" si="7"/>
        <v>337838</v>
      </c>
    </row>
    <row r="5" spans="1:32" x14ac:dyDescent="0.25">
      <c r="A5" s="57">
        <v>45853</v>
      </c>
      <c r="B5" s="59" t="s">
        <v>644</v>
      </c>
      <c r="C5" s="61" t="s">
        <v>411</v>
      </c>
      <c r="D5" s="13" t="s">
        <v>14</v>
      </c>
      <c r="E5" s="2">
        <v>1</v>
      </c>
      <c r="F5" s="3">
        <v>4000</v>
      </c>
      <c r="G5" s="3">
        <f t="shared" si="8"/>
        <v>4000</v>
      </c>
      <c r="H5" s="62">
        <f>9800</f>
        <v>9800</v>
      </c>
      <c r="I5" s="62">
        <f t="shared" si="1"/>
        <v>490</v>
      </c>
      <c r="J5" s="54">
        <f t="shared" si="2"/>
        <v>10290</v>
      </c>
      <c r="L5" s="58"/>
      <c r="M5" s="60"/>
      <c r="N5" s="60"/>
      <c r="O5" s="13" t="s">
        <v>723</v>
      </c>
      <c r="P5" s="2">
        <v>2</v>
      </c>
      <c r="Q5" s="3">
        <v>700</v>
      </c>
      <c r="R5" s="3">
        <f>P5*Q5</f>
        <v>1400</v>
      </c>
      <c r="S5" s="60"/>
      <c r="T5" s="60"/>
      <c r="U5" s="56"/>
      <c r="W5" s="6">
        <v>45883</v>
      </c>
      <c r="X5" s="2" t="s">
        <v>627</v>
      </c>
      <c r="Y5" s="13" t="s">
        <v>383</v>
      </c>
      <c r="Z5" s="13" t="s">
        <v>14</v>
      </c>
      <c r="AA5" s="2">
        <v>36</v>
      </c>
      <c r="AB5" s="3">
        <v>2627.78</v>
      </c>
      <c r="AC5" s="3">
        <f t="shared" ref="AC5:AC52" si="9">AA5*AB5</f>
        <v>94600.08</v>
      </c>
      <c r="AD5" s="4">
        <f t="shared" si="5"/>
        <v>94600.08</v>
      </c>
      <c r="AE5" s="4">
        <f t="shared" si="6"/>
        <v>4730</v>
      </c>
      <c r="AF5" s="5">
        <f t="shared" si="7"/>
        <v>99330.08</v>
      </c>
    </row>
    <row r="6" spans="1:32" x14ac:dyDescent="0.25">
      <c r="A6" s="58"/>
      <c r="B6" s="60"/>
      <c r="C6" s="60"/>
      <c r="D6" s="13" t="s">
        <v>16</v>
      </c>
      <c r="E6" s="2">
        <v>2</v>
      </c>
      <c r="F6" s="3">
        <v>2900</v>
      </c>
      <c r="G6" s="3">
        <f t="shared" si="8"/>
        <v>5800</v>
      </c>
      <c r="H6" s="60"/>
      <c r="I6" s="60"/>
      <c r="J6" s="56"/>
      <c r="L6" s="6">
        <v>45839</v>
      </c>
      <c r="M6" s="2" t="s">
        <v>697</v>
      </c>
      <c r="N6" s="13" t="s">
        <v>724</v>
      </c>
      <c r="O6" s="13" t="s">
        <v>721</v>
      </c>
      <c r="P6" s="2">
        <v>77</v>
      </c>
      <c r="Q6" s="3">
        <v>2237.66</v>
      </c>
      <c r="R6" s="3">
        <f t="shared" ref="R6:R67" si="10">P6*Q6</f>
        <v>172299.81999999998</v>
      </c>
      <c r="S6" s="4">
        <f t="shared" ref="S6:S67" si="11">R6</f>
        <v>172299.81999999998</v>
      </c>
      <c r="T6" s="4">
        <f t="shared" si="3"/>
        <v>8615</v>
      </c>
      <c r="U6" s="5">
        <f t="shared" si="4"/>
        <v>180914.81999999998</v>
      </c>
      <c r="W6" s="6">
        <v>45893</v>
      </c>
      <c r="X6" s="2" t="s">
        <v>628</v>
      </c>
      <c r="Y6" s="13" t="s">
        <v>383</v>
      </c>
      <c r="Z6" s="13" t="s">
        <v>14</v>
      </c>
      <c r="AA6" s="2">
        <v>105</v>
      </c>
      <c r="AB6" s="3">
        <f>AC6/AA6</f>
        <v>2274.7619047619046</v>
      </c>
      <c r="AC6" s="3">
        <v>238850</v>
      </c>
      <c r="AD6" s="4">
        <f t="shared" si="5"/>
        <v>238850</v>
      </c>
      <c r="AE6" s="4">
        <f t="shared" si="6"/>
        <v>11943</v>
      </c>
      <c r="AF6" s="5">
        <f t="shared" si="7"/>
        <v>250793</v>
      </c>
    </row>
    <row r="7" spans="1:32" x14ac:dyDescent="0.25">
      <c r="A7" s="52">
        <v>45855</v>
      </c>
      <c r="B7" s="59" t="s">
        <v>645</v>
      </c>
      <c r="C7" s="61" t="s">
        <v>199</v>
      </c>
      <c r="D7" s="13" t="s">
        <v>14</v>
      </c>
      <c r="E7" s="2">
        <v>1</v>
      </c>
      <c r="F7" s="3">
        <v>2900</v>
      </c>
      <c r="G7" s="3">
        <f t="shared" si="8"/>
        <v>2900</v>
      </c>
      <c r="H7" s="62">
        <v>5600</v>
      </c>
      <c r="I7" s="62">
        <f t="shared" si="1"/>
        <v>280</v>
      </c>
      <c r="J7" s="54">
        <f t="shared" si="2"/>
        <v>5880</v>
      </c>
      <c r="L7" s="6">
        <v>45839</v>
      </c>
      <c r="M7" s="2" t="s">
        <v>698</v>
      </c>
      <c r="N7" s="13" t="s">
        <v>725</v>
      </c>
      <c r="O7" s="13" t="s">
        <v>721</v>
      </c>
      <c r="P7" s="2">
        <v>20</v>
      </c>
      <c r="Q7" s="3">
        <v>2767.5</v>
      </c>
      <c r="R7" s="3">
        <f t="shared" si="10"/>
        <v>55350</v>
      </c>
      <c r="S7" s="4">
        <f t="shared" si="11"/>
        <v>55350</v>
      </c>
      <c r="T7" s="4">
        <f t="shared" si="3"/>
        <v>2768</v>
      </c>
      <c r="U7" s="5">
        <f t="shared" si="4"/>
        <v>58118</v>
      </c>
      <c r="W7" s="6"/>
      <c r="X7" s="2" t="s">
        <v>629</v>
      </c>
      <c r="Y7" s="2"/>
      <c r="Z7" s="2"/>
      <c r="AA7" s="2"/>
      <c r="AB7" s="3"/>
      <c r="AC7" s="3">
        <f t="shared" si="9"/>
        <v>0</v>
      </c>
      <c r="AD7" s="4">
        <f t="shared" si="5"/>
        <v>0</v>
      </c>
      <c r="AE7" s="4">
        <f t="shared" si="6"/>
        <v>0</v>
      </c>
      <c r="AF7" s="5">
        <f t="shared" si="7"/>
        <v>0</v>
      </c>
    </row>
    <row r="8" spans="1:32" x14ac:dyDescent="0.25">
      <c r="A8" s="58"/>
      <c r="B8" s="60"/>
      <c r="C8" s="60"/>
      <c r="D8" s="13" t="s">
        <v>16</v>
      </c>
      <c r="E8" s="2">
        <v>2</v>
      </c>
      <c r="F8" s="3">
        <v>1350</v>
      </c>
      <c r="G8" s="3">
        <f t="shared" si="8"/>
        <v>2700</v>
      </c>
      <c r="H8" s="60"/>
      <c r="I8" s="60"/>
      <c r="J8" s="56"/>
      <c r="L8" s="6">
        <v>45839</v>
      </c>
      <c r="M8" s="2" t="s">
        <v>699</v>
      </c>
      <c r="N8" s="13" t="s">
        <v>726</v>
      </c>
      <c r="O8" s="13" t="s">
        <v>721</v>
      </c>
      <c r="P8" s="2">
        <v>78</v>
      </c>
      <c r="Q8" s="3">
        <v>2250.5100000000002</v>
      </c>
      <c r="R8" s="3">
        <f t="shared" si="10"/>
        <v>175539.78000000003</v>
      </c>
      <c r="S8" s="4">
        <f t="shared" si="11"/>
        <v>175539.78000000003</v>
      </c>
      <c r="T8" s="4">
        <f t="shared" si="3"/>
        <v>8777</v>
      </c>
      <c r="U8" s="5">
        <f t="shared" si="4"/>
        <v>184316.78000000003</v>
      </c>
      <c r="W8" s="6"/>
      <c r="X8" s="2" t="s">
        <v>630</v>
      </c>
      <c r="Y8" s="2"/>
      <c r="Z8" s="2"/>
      <c r="AA8" s="2"/>
      <c r="AB8" s="3"/>
      <c r="AC8" s="3">
        <f t="shared" si="9"/>
        <v>0</v>
      </c>
      <c r="AD8" s="4">
        <f t="shared" si="5"/>
        <v>0</v>
      </c>
      <c r="AE8" s="4">
        <f t="shared" si="6"/>
        <v>0</v>
      </c>
      <c r="AF8" s="5">
        <f t="shared" si="7"/>
        <v>0</v>
      </c>
    </row>
    <row r="9" spans="1:32" x14ac:dyDescent="0.25">
      <c r="A9" s="17" t="s">
        <v>187</v>
      </c>
      <c r="B9" s="2" t="s">
        <v>646</v>
      </c>
      <c r="C9" s="2"/>
      <c r="D9" s="2"/>
      <c r="E9" s="2"/>
      <c r="F9" s="3"/>
      <c r="G9" s="3">
        <f t="shared" si="8"/>
        <v>0</v>
      </c>
      <c r="H9" s="4">
        <f t="shared" si="0"/>
        <v>0</v>
      </c>
      <c r="I9" s="4">
        <f t="shared" si="1"/>
        <v>0</v>
      </c>
      <c r="J9" s="5">
        <f t="shared" si="2"/>
        <v>0</v>
      </c>
      <c r="L9" s="6">
        <v>45839</v>
      </c>
      <c r="M9" s="2" t="s">
        <v>700</v>
      </c>
      <c r="N9" s="13" t="s">
        <v>727</v>
      </c>
      <c r="O9" s="13" t="s">
        <v>721</v>
      </c>
      <c r="P9" s="2">
        <v>1</v>
      </c>
      <c r="Q9" s="3">
        <v>4850</v>
      </c>
      <c r="R9" s="3">
        <f t="shared" si="10"/>
        <v>4850</v>
      </c>
      <c r="S9" s="4">
        <f t="shared" si="11"/>
        <v>4850</v>
      </c>
      <c r="T9" s="4">
        <f t="shared" si="3"/>
        <v>243</v>
      </c>
      <c r="U9" s="5">
        <f t="shared" si="4"/>
        <v>5093</v>
      </c>
      <c r="W9" s="6"/>
      <c r="X9" s="2" t="s">
        <v>631</v>
      </c>
      <c r="Y9" s="2"/>
      <c r="Z9" s="2"/>
      <c r="AA9" s="2"/>
      <c r="AB9" s="3"/>
      <c r="AC9" s="3">
        <f t="shared" si="9"/>
        <v>0</v>
      </c>
      <c r="AD9" s="4">
        <f t="shared" si="5"/>
        <v>0</v>
      </c>
      <c r="AE9" s="4">
        <f t="shared" si="6"/>
        <v>0</v>
      </c>
      <c r="AF9" s="5">
        <f t="shared" si="7"/>
        <v>0</v>
      </c>
    </row>
    <row r="10" spans="1:32" x14ac:dyDescent="0.25">
      <c r="A10" s="6">
        <v>45856</v>
      </c>
      <c r="B10" s="2" t="s">
        <v>647</v>
      </c>
      <c r="C10" s="13" t="s">
        <v>125</v>
      </c>
      <c r="D10" s="13" t="s">
        <v>14</v>
      </c>
      <c r="E10" s="2">
        <v>4</v>
      </c>
      <c r="F10" s="3">
        <v>4190.5</v>
      </c>
      <c r="G10" s="3">
        <f t="shared" si="8"/>
        <v>16762</v>
      </c>
      <c r="H10" s="4">
        <f t="shared" si="0"/>
        <v>16762</v>
      </c>
      <c r="I10" s="4">
        <f t="shared" si="1"/>
        <v>838</v>
      </c>
      <c r="J10" s="5">
        <f t="shared" si="2"/>
        <v>17600</v>
      </c>
      <c r="L10" s="6">
        <v>45839</v>
      </c>
      <c r="M10" s="2" t="s">
        <v>701</v>
      </c>
      <c r="N10" s="13" t="s">
        <v>728</v>
      </c>
      <c r="O10" s="13" t="s">
        <v>721</v>
      </c>
      <c r="P10" s="2">
        <v>5</v>
      </c>
      <c r="Q10" s="3">
        <v>4562</v>
      </c>
      <c r="R10" s="3">
        <f t="shared" si="10"/>
        <v>22810</v>
      </c>
      <c r="S10" s="4">
        <f t="shared" si="11"/>
        <v>22810</v>
      </c>
      <c r="T10" s="4">
        <f t="shared" si="3"/>
        <v>1141</v>
      </c>
      <c r="U10" s="5">
        <f t="shared" si="4"/>
        <v>23951</v>
      </c>
      <c r="W10" s="6"/>
      <c r="X10" s="2" t="s">
        <v>632</v>
      </c>
      <c r="Y10" s="2"/>
      <c r="Z10" s="2"/>
      <c r="AA10" s="2"/>
      <c r="AB10" s="3"/>
      <c r="AC10" s="3">
        <f t="shared" si="9"/>
        <v>0</v>
      </c>
      <c r="AD10" s="4">
        <f t="shared" si="5"/>
        <v>0</v>
      </c>
      <c r="AE10" s="4">
        <f t="shared" si="6"/>
        <v>0</v>
      </c>
      <c r="AF10" s="5">
        <f t="shared" si="7"/>
        <v>0</v>
      </c>
    </row>
    <row r="11" spans="1:32" x14ac:dyDescent="0.25">
      <c r="A11" s="6">
        <v>45862</v>
      </c>
      <c r="B11" s="2" t="s">
        <v>648</v>
      </c>
      <c r="C11" s="13" t="s">
        <v>659</v>
      </c>
      <c r="D11" s="13" t="s">
        <v>14</v>
      </c>
      <c r="E11" s="2">
        <v>1</v>
      </c>
      <c r="F11" s="3">
        <v>5700</v>
      </c>
      <c r="G11" s="3">
        <f t="shared" si="8"/>
        <v>5700</v>
      </c>
      <c r="H11" s="4">
        <f t="shared" si="0"/>
        <v>5700</v>
      </c>
      <c r="I11" s="4">
        <f t="shared" si="1"/>
        <v>285</v>
      </c>
      <c r="J11" s="5">
        <f t="shared" si="2"/>
        <v>5985</v>
      </c>
      <c r="L11" s="31">
        <v>45839</v>
      </c>
      <c r="M11" s="34" t="s">
        <v>702</v>
      </c>
      <c r="N11" s="37" t="s">
        <v>729</v>
      </c>
      <c r="O11" s="13" t="s">
        <v>14</v>
      </c>
      <c r="P11" s="2">
        <v>31</v>
      </c>
      <c r="Q11" s="3">
        <v>1996.77</v>
      </c>
      <c r="R11" s="16">
        <f t="shared" si="10"/>
        <v>61899.87</v>
      </c>
      <c r="S11" s="38">
        <f>R11+R12</f>
        <v>64199.87</v>
      </c>
      <c r="T11" s="38">
        <f t="shared" si="3"/>
        <v>3210</v>
      </c>
      <c r="U11" s="41">
        <f t="shared" si="4"/>
        <v>67409.87</v>
      </c>
      <c r="W11" s="6"/>
      <c r="X11" s="2" t="s">
        <v>633</v>
      </c>
      <c r="Y11" s="2"/>
      <c r="Z11" s="2"/>
      <c r="AA11" s="2"/>
      <c r="AB11" s="3"/>
      <c r="AC11" s="3">
        <f t="shared" si="9"/>
        <v>0</v>
      </c>
      <c r="AD11" s="4">
        <f t="shared" si="5"/>
        <v>0</v>
      </c>
      <c r="AE11" s="4">
        <f t="shared" si="6"/>
        <v>0</v>
      </c>
      <c r="AF11" s="5">
        <f t="shared" si="7"/>
        <v>0</v>
      </c>
    </row>
    <row r="12" spans="1:32" x14ac:dyDescent="0.25">
      <c r="A12" s="6">
        <v>45862</v>
      </c>
      <c r="B12" s="2" t="s">
        <v>649</v>
      </c>
      <c r="C12" s="13" t="s">
        <v>127</v>
      </c>
      <c r="D12" s="13" t="s">
        <v>795</v>
      </c>
      <c r="E12" s="2">
        <v>137</v>
      </c>
      <c r="F12" s="3">
        <v>450</v>
      </c>
      <c r="G12" s="3">
        <f t="shared" si="8"/>
        <v>61650</v>
      </c>
      <c r="H12" s="4">
        <f t="shared" si="0"/>
        <v>61650</v>
      </c>
      <c r="I12" s="4">
        <f t="shared" si="1"/>
        <v>3083</v>
      </c>
      <c r="J12" s="5">
        <f t="shared" si="2"/>
        <v>64733</v>
      </c>
      <c r="L12" s="33"/>
      <c r="M12" s="36"/>
      <c r="N12" s="36"/>
      <c r="O12" s="13" t="s">
        <v>16</v>
      </c>
      <c r="P12" s="2">
        <v>1</v>
      </c>
      <c r="Q12" s="3">
        <v>2300</v>
      </c>
      <c r="R12" s="16">
        <f t="shared" si="10"/>
        <v>2300</v>
      </c>
      <c r="S12" s="40"/>
      <c r="T12" s="40"/>
      <c r="U12" s="43"/>
      <c r="W12" s="6"/>
      <c r="X12" s="2" t="s">
        <v>634</v>
      </c>
      <c r="Y12" s="2"/>
      <c r="Z12" s="2"/>
      <c r="AA12" s="2"/>
      <c r="AB12" s="3"/>
      <c r="AC12" s="3">
        <f t="shared" si="9"/>
        <v>0</v>
      </c>
      <c r="AD12" s="4">
        <f t="shared" si="5"/>
        <v>0</v>
      </c>
      <c r="AE12" s="4">
        <f t="shared" si="6"/>
        <v>0</v>
      </c>
      <c r="AF12" s="5">
        <f t="shared" si="7"/>
        <v>0</v>
      </c>
    </row>
    <row r="13" spans="1:32" x14ac:dyDescent="0.25">
      <c r="A13" s="52">
        <v>45870</v>
      </c>
      <c r="B13" s="34" t="s">
        <v>796</v>
      </c>
      <c r="C13" s="37" t="s">
        <v>797</v>
      </c>
      <c r="D13" s="13" t="s">
        <v>14</v>
      </c>
      <c r="E13" s="2">
        <v>200</v>
      </c>
      <c r="F13" s="3">
        <v>2621.85</v>
      </c>
      <c r="G13" s="16">
        <f t="shared" si="8"/>
        <v>524370</v>
      </c>
      <c r="H13" s="38">
        <f>G13+G14</f>
        <v>556710</v>
      </c>
      <c r="I13" s="38">
        <f t="shared" si="1"/>
        <v>27836</v>
      </c>
      <c r="J13" s="41">
        <f t="shared" si="2"/>
        <v>584546</v>
      </c>
      <c r="L13" s="6">
        <v>45839</v>
      </c>
      <c r="M13" s="2" t="s">
        <v>703</v>
      </c>
      <c r="N13" s="13" t="s">
        <v>730</v>
      </c>
      <c r="O13" s="13" t="s">
        <v>721</v>
      </c>
      <c r="P13" s="2">
        <v>2</v>
      </c>
      <c r="Q13" s="3">
        <v>4650</v>
      </c>
      <c r="R13" s="3">
        <f t="shared" si="10"/>
        <v>9300</v>
      </c>
      <c r="S13" s="4">
        <f t="shared" si="11"/>
        <v>9300</v>
      </c>
      <c r="T13" s="4">
        <f t="shared" si="3"/>
        <v>465</v>
      </c>
      <c r="U13" s="5">
        <f t="shared" si="4"/>
        <v>9765</v>
      </c>
      <c r="W13" s="6"/>
      <c r="X13" s="2" t="s">
        <v>635</v>
      </c>
      <c r="Y13" s="2"/>
      <c r="Z13" s="2"/>
      <c r="AA13" s="2"/>
      <c r="AB13" s="3"/>
      <c r="AC13" s="3">
        <f t="shared" si="9"/>
        <v>0</v>
      </c>
      <c r="AD13" s="4">
        <f t="shared" si="5"/>
        <v>0</v>
      </c>
      <c r="AE13" s="4">
        <f t="shared" si="6"/>
        <v>0</v>
      </c>
      <c r="AF13" s="5">
        <f t="shared" si="7"/>
        <v>0</v>
      </c>
    </row>
    <row r="14" spans="1:32" x14ac:dyDescent="0.25">
      <c r="A14" s="53"/>
      <c r="B14" s="36"/>
      <c r="C14" s="36"/>
      <c r="D14" s="13" t="s">
        <v>16</v>
      </c>
      <c r="E14" s="2">
        <v>33</v>
      </c>
      <c r="F14" s="3">
        <v>980</v>
      </c>
      <c r="G14" s="16">
        <f t="shared" si="8"/>
        <v>32340</v>
      </c>
      <c r="H14" s="40"/>
      <c r="I14" s="40"/>
      <c r="J14" s="43"/>
      <c r="L14" s="6">
        <v>45839</v>
      </c>
      <c r="M14" s="2" t="s">
        <v>704</v>
      </c>
      <c r="N14" s="13" t="s">
        <v>731</v>
      </c>
      <c r="O14" s="13" t="s">
        <v>723</v>
      </c>
      <c r="P14" s="2">
        <v>1</v>
      </c>
      <c r="Q14" s="3">
        <v>800</v>
      </c>
      <c r="R14" s="3">
        <f t="shared" si="10"/>
        <v>800</v>
      </c>
      <c r="S14" s="4">
        <f t="shared" si="11"/>
        <v>800</v>
      </c>
      <c r="T14" s="4">
        <f t="shared" si="3"/>
        <v>40</v>
      </c>
      <c r="U14" s="5">
        <f t="shared" si="4"/>
        <v>840</v>
      </c>
      <c r="W14" s="6"/>
      <c r="X14" s="2" t="s">
        <v>636</v>
      </c>
      <c r="Y14" s="2"/>
      <c r="Z14" s="2"/>
      <c r="AA14" s="2"/>
      <c r="AB14" s="3"/>
      <c r="AC14" s="3">
        <f t="shared" si="9"/>
        <v>0</v>
      </c>
      <c r="AD14" s="4">
        <f t="shared" si="5"/>
        <v>0</v>
      </c>
      <c r="AE14" s="4">
        <f t="shared" si="6"/>
        <v>0</v>
      </c>
      <c r="AF14" s="5">
        <f t="shared" si="7"/>
        <v>0</v>
      </c>
    </row>
    <row r="15" spans="1:32" x14ac:dyDescent="0.25">
      <c r="A15" s="6">
        <v>45870</v>
      </c>
      <c r="B15" s="2" t="s">
        <v>650</v>
      </c>
      <c r="C15" s="13" t="s">
        <v>127</v>
      </c>
      <c r="D15" s="13" t="s">
        <v>14</v>
      </c>
      <c r="E15" s="2">
        <v>5</v>
      </c>
      <c r="F15" s="3">
        <v>4083</v>
      </c>
      <c r="G15" s="3">
        <f t="shared" si="8"/>
        <v>20415</v>
      </c>
      <c r="H15" s="4">
        <f t="shared" si="0"/>
        <v>20415</v>
      </c>
      <c r="I15" s="4">
        <f t="shared" si="1"/>
        <v>1021</v>
      </c>
      <c r="J15" s="5">
        <f t="shared" si="2"/>
        <v>21436</v>
      </c>
      <c r="L15" s="6">
        <v>45841</v>
      </c>
      <c r="M15" s="2" t="s">
        <v>705</v>
      </c>
      <c r="N15" s="13" t="s">
        <v>732</v>
      </c>
      <c r="O15" s="13" t="s">
        <v>723</v>
      </c>
      <c r="P15" s="2">
        <v>20</v>
      </c>
      <c r="Q15" s="3">
        <v>50</v>
      </c>
      <c r="R15" s="3">
        <f t="shared" si="10"/>
        <v>1000</v>
      </c>
      <c r="S15" s="4">
        <f t="shared" si="11"/>
        <v>1000</v>
      </c>
      <c r="T15" s="4">
        <f t="shared" si="3"/>
        <v>50</v>
      </c>
      <c r="U15" s="5">
        <f t="shared" si="4"/>
        <v>1050</v>
      </c>
      <c r="W15" s="6"/>
      <c r="X15" s="2" t="s">
        <v>637</v>
      </c>
      <c r="Y15" s="2"/>
      <c r="Z15" s="2"/>
      <c r="AA15" s="2"/>
      <c r="AB15" s="3"/>
      <c r="AC15" s="3">
        <f t="shared" si="9"/>
        <v>0</v>
      </c>
      <c r="AD15" s="4">
        <f t="shared" si="5"/>
        <v>0</v>
      </c>
      <c r="AE15" s="4">
        <f t="shared" si="6"/>
        <v>0</v>
      </c>
      <c r="AF15" s="5">
        <f t="shared" si="7"/>
        <v>0</v>
      </c>
    </row>
    <row r="16" spans="1:32" x14ac:dyDescent="0.25">
      <c r="A16" s="6">
        <v>45881</v>
      </c>
      <c r="B16" s="2" t="s">
        <v>651</v>
      </c>
      <c r="C16" s="13" t="s">
        <v>125</v>
      </c>
      <c r="D16" s="13" t="s">
        <v>14</v>
      </c>
      <c r="E16" s="2">
        <v>8</v>
      </c>
      <c r="F16" s="3">
        <v>4382.13</v>
      </c>
      <c r="G16" s="3">
        <f t="shared" si="8"/>
        <v>35057.040000000001</v>
      </c>
      <c r="H16" s="4">
        <f t="shared" si="0"/>
        <v>35057.040000000001</v>
      </c>
      <c r="I16" s="4">
        <f t="shared" si="1"/>
        <v>1753</v>
      </c>
      <c r="J16" s="5">
        <f t="shared" si="2"/>
        <v>36810.04</v>
      </c>
      <c r="L16" s="6">
        <v>45841</v>
      </c>
      <c r="M16" s="2" t="s">
        <v>706</v>
      </c>
      <c r="N16" s="13" t="s">
        <v>733</v>
      </c>
      <c r="O16" s="13" t="s">
        <v>721</v>
      </c>
      <c r="P16" s="2">
        <v>2</v>
      </c>
      <c r="Q16" s="3">
        <v>3275</v>
      </c>
      <c r="R16" s="3">
        <f t="shared" si="10"/>
        <v>6550</v>
      </c>
      <c r="S16" s="4">
        <f t="shared" si="11"/>
        <v>6550</v>
      </c>
      <c r="T16" s="4">
        <f t="shared" si="3"/>
        <v>328</v>
      </c>
      <c r="U16" s="5">
        <f t="shared" si="4"/>
        <v>6878</v>
      </c>
      <c r="W16" s="6"/>
      <c r="X16" s="2" t="s">
        <v>638</v>
      </c>
      <c r="Y16" s="2"/>
      <c r="Z16" s="2"/>
      <c r="AA16" s="2"/>
      <c r="AB16" s="3"/>
      <c r="AC16" s="3">
        <f t="shared" si="9"/>
        <v>0</v>
      </c>
      <c r="AD16" s="4">
        <f t="shared" si="5"/>
        <v>0</v>
      </c>
      <c r="AE16" s="4">
        <f t="shared" si="6"/>
        <v>0</v>
      </c>
      <c r="AF16" s="5">
        <f t="shared" si="7"/>
        <v>0</v>
      </c>
    </row>
    <row r="17" spans="1:32" x14ac:dyDescent="0.25">
      <c r="A17" s="6">
        <v>45891</v>
      </c>
      <c r="B17" s="2" t="s">
        <v>652</v>
      </c>
      <c r="C17" s="13" t="s">
        <v>799</v>
      </c>
      <c r="D17" s="13" t="s">
        <v>14</v>
      </c>
      <c r="E17" s="2">
        <v>1</v>
      </c>
      <c r="F17" s="3">
        <v>7900</v>
      </c>
      <c r="G17" s="3">
        <f t="shared" si="8"/>
        <v>7900</v>
      </c>
      <c r="H17" s="4">
        <f t="shared" si="0"/>
        <v>7900</v>
      </c>
      <c r="I17" s="4">
        <f t="shared" si="1"/>
        <v>395</v>
      </c>
      <c r="J17" s="5">
        <f t="shared" si="2"/>
        <v>8295</v>
      </c>
      <c r="L17" s="6">
        <v>45841</v>
      </c>
      <c r="M17" s="2" t="s">
        <v>707</v>
      </c>
      <c r="N17" s="13" t="s">
        <v>734</v>
      </c>
      <c r="O17" s="13" t="s">
        <v>721</v>
      </c>
      <c r="P17" s="2">
        <v>14</v>
      </c>
      <c r="Q17" s="3">
        <v>4095.21</v>
      </c>
      <c r="R17" s="3">
        <f t="shared" si="10"/>
        <v>57332.94</v>
      </c>
      <c r="S17" s="4">
        <f t="shared" si="11"/>
        <v>57332.94</v>
      </c>
      <c r="T17" s="4">
        <f t="shared" si="3"/>
        <v>2867</v>
      </c>
      <c r="U17" s="5">
        <f t="shared" si="4"/>
        <v>60199.94</v>
      </c>
      <c r="W17" s="6"/>
      <c r="X17" s="2" t="s">
        <v>639</v>
      </c>
      <c r="Y17" s="2"/>
      <c r="Z17" s="2"/>
      <c r="AA17" s="2"/>
      <c r="AB17" s="3"/>
      <c r="AC17" s="3">
        <f t="shared" si="9"/>
        <v>0</v>
      </c>
      <c r="AD17" s="4">
        <f t="shared" si="5"/>
        <v>0</v>
      </c>
      <c r="AE17" s="4">
        <f t="shared" si="6"/>
        <v>0</v>
      </c>
      <c r="AF17" s="5">
        <f t="shared" si="7"/>
        <v>0</v>
      </c>
    </row>
    <row r="18" spans="1:32" x14ac:dyDescent="0.25">
      <c r="A18" s="6"/>
      <c r="B18" s="2" t="s">
        <v>653</v>
      </c>
      <c r="C18" s="2"/>
      <c r="D18" s="2"/>
      <c r="E18" s="2"/>
      <c r="F18" s="3"/>
      <c r="G18" s="3">
        <f t="shared" si="8"/>
        <v>0</v>
      </c>
      <c r="H18" s="4">
        <f t="shared" si="0"/>
        <v>0</v>
      </c>
      <c r="I18" s="4">
        <f t="shared" si="1"/>
        <v>0</v>
      </c>
      <c r="J18" s="5">
        <f t="shared" si="2"/>
        <v>0</v>
      </c>
      <c r="L18" s="31">
        <v>45847</v>
      </c>
      <c r="M18" s="34" t="s">
        <v>736</v>
      </c>
      <c r="N18" s="37" t="s">
        <v>735</v>
      </c>
      <c r="O18" s="13" t="s">
        <v>722</v>
      </c>
      <c r="P18" s="2">
        <v>8</v>
      </c>
      <c r="Q18" s="3">
        <v>2095.25</v>
      </c>
      <c r="R18" s="16">
        <f t="shared" si="10"/>
        <v>16762</v>
      </c>
      <c r="S18" s="38">
        <f>R18+R19</f>
        <v>18262</v>
      </c>
      <c r="T18" s="38">
        <f t="shared" si="3"/>
        <v>913</v>
      </c>
      <c r="U18" s="41">
        <f t="shared" si="4"/>
        <v>19175</v>
      </c>
      <c r="W18" s="6"/>
      <c r="X18" s="2" t="s">
        <v>640</v>
      </c>
      <c r="Y18" s="2"/>
      <c r="Z18" s="2"/>
      <c r="AA18" s="2"/>
      <c r="AB18" s="3"/>
      <c r="AC18" s="3">
        <f t="shared" si="9"/>
        <v>0</v>
      </c>
      <c r="AD18" s="4">
        <f t="shared" si="5"/>
        <v>0</v>
      </c>
      <c r="AE18" s="4">
        <f t="shared" si="6"/>
        <v>0</v>
      </c>
      <c r="AF18" s="5">
        <f t="shared" si="7"/>
        <v>0</v>
      </c>
    </row>
    <row r="19" spans="1:32" x14ac:dyDescent="0.25">
      <c r="A19" s="6"/>
      <c r="B19" s="2" t="s">
        <v>654</v>
      </c>
      <c r="C19" s="2"/>
      <c r="D19" s="2"/>
      <c r="E19" s="2"/>
      <c r="F19" s="3"/>
      <c r="G19" s="3">
        <f t="shared" si="8"/>
        <v>0</v>
      </c>
      <c r="H19" s="4">
        <f t="shared" si="0"/>
        <v>0</v>
      </c>
      <c r="I19" s="4">
        <f t="shared" si="1"/>
        <v>0</v>
      </c>
      <c r="J19" s="5">
        <f t="shared" si="2"/>
        <v>0</v>
      </c>
      <c r="L19" s="33"/>
      <c r="M19" s="36"/>
      <c r="N19" s="36"/>
      <c r="O19" s="13" t="s">
        <v>723</v>
      </c>
      <c r="P19" s="2">
        <v>1</v>
      </c>
      <c r="Q19" s="3">
        <v>1500</v>
      </c>
      <c r="R19" s="16">
        <f t="shared" si="10"/>
        <v>1500</v>
      </c>
      <c r="S19" s="40"/>
      <c r="T19" s="40"/>
      <c r="U19" s="43"/>
      <c r="W19" s="6"/>
      <c r="X19" s="2" t="s">
        <v>641</v>
      </c>
      <c r="Y19" s="2"/>
      <c r="Z19" s="2"/>
      <c r="AA19" s="2"/>
      <c r="AB19" s="3"/>
      <c r="AC19" s="3">
        <f t="shared" si="9"/>
        <v>0</v>
      </c>
      <c r="AD19" s="4">
        <f t="shared" si="5"/>
        <v>0</v>
      </c>
      <c r="AE19" s="4">
        <f t="shared" si="6"/>
        <v>0</v>
      </c>
      <c r="AF19" s="5">
        <f t="shared" si="7"/>
        <v>0</v>
      </c>
    </row>
    <row r="20" spans="1:32" x14ac:dyDescent="0.25">
      <c r="A20" s="6"/>
      <c r="B20" s="2" t="s">
        <v>655</v>
      </c>
      <c r="C20" s="2"/>
      <c r="D20" s="2"/>
      <c r="E20" s="2"/>
      <c r="F20" s="3"/>
      <c r="G20" s="3">
        <f t="shared" si="8"/>
        <v>0</v>
      </c>
      <c r="H20" s="4">
        <f t="shared" si="0"/>
        <v>0</v>
      </c>
      <c r="I20" s="4">
        <f t="shared" si="1"/>
        <v>0</v>
      </c>
      <c r="J20" s="5">
        <f t="shared" si="2"/>
        <v>0</v>
      </c>
      <c r="L20" s="6">
        <v>45849</v>
      </c>
      <c r="M20" s="2" t="s">
        <v>708</v>
      </c>
      <c r="N20" s="13" t="s">
        <v>737</v>
      </c>
      <c r="O20" s="13" t="s">
        <v>723</v>
      </c>
      <c r="P20" s="2">
        <v>5</v>
      </c>
      <c r="Q20" s="3">
        <v>123.8</v>
      </c>
      <c r="R20" s="3">
        <f t="shared" si="10"/>
        <v>619</v>
      </c>
      <c r="S20" s="4">
        <f t="shared" si="11"/>
        <v>619</v>
      </c>
      <c r="T20" s="4">
        <f t="shared" si="3"/>
        <v>31</v>
      </c>
      <c r="U20" s="5">
        <f t="shared" si="4"/>
        <v>650</v>
      </c>
      <c r="W20" s="25"/>
      <c r="X20" s="2" t="s">
        <v>743</v>
      </c>
      <c r="Y20" s="2"/>
      <c r="Z20" s="2"/>
      <c r="AA20" s="2"/>
      <c r="AB20" s="3"/>
      <c r="AC20" s="3">
        <f t="shared" si="9"/>
        <v>0</v>
      </c>
      <c r="AD20" s="4">
        <f t="shared" si="5"/>
        <v>0</v>
      </c>
      <c r="AE20" s="4">
        <f t="shared" si="6"/>
        <v>0</v>
      </c>
      <c r="AF20" s="5">
        <f t="shared" si="7"/>
        <v>0</v>
      </c>
    </row>
    <row r="21" spans="1:32" x14ac:dyDescent="0.25">
      <c r="A21" s="6"/>
      <c r="B21" s="2" t="s">
        <v>656</v>
      </c>
      <c r="C21" s="2"/>
      <c r="D21" s="2"/>
      <c r="E21" s="2"/>
      <c r="F21" s="3"/>
      <c r="G21" s="3">
        <f t="shared" si="8"/>
        <v>0</v>
      </c>
      <c r="H21" s="4">
        <f t="shared" si="0"/>
        <v>0</v>
      </c>
      <c r="I21" s="4">
        <f t="shared" si="1"/>
        <v>0</v>
      </c>
      <c r="J21" s="5">
        <f t="shared" si="2"/>
        <v>0</v>
      </c>
      <c r="L21" s="6">
        <v>45854</v>
      </c>
      <c r="M21" s="2" t="s">
        <v>709</v>
      </c>
      <c r="N21" s="13" t="s">
        <v>738</v>
      </c>
      <c r="O21" s="13" t="s">
        <v>723</v>
      </c>
      <c r="P21" s="2">
        <v>1</v>
      </c>
      <c r="Q21" s="3">
        <v>700</v>
      </c>
      <c r="R21" s="3">
        <f t="shared" si="10"/>
        <v>700</v>
      </c>
      <c r="S21" s="4">
        <f t="shared" si="11"/>
        <v>700</v>
      </c>
      <c r="T21" s="4">
        <f t="shared" si="3"/>
        <v>35</v>
      </c>
      <c r="U21" s="5">
        <f t="shared" si="4"/>
        <v>735</v>
      </c>
      <c r="W21" s="25"/>
      <c r="X21" s="2" t="s">
        <v>744</v>
      </c>
      <c r="Y21" s="2"/>
      <c r="Z21" s="2"/>
      <c r="AA21" s="2"/>
      <c r="AB21" s="3"/>
      <c r="AC21" s="3">
        <f t="shared" si="9"/>
        <v>0</v>
      </c>
      <c r="AD21" s="4">
        <f t="shared" si="5"/>
        <v>0</v>
      </c>
      <c r="AE21" s="4">
        <f t="shared" si="6"/>
        <v>0</v>
      </c>
      <c r="AF21" s="5">
        <f t="shared" si="7"/>
        <v>0</v>
      </c>
    </row>
    <row r="22" spans="1:32" x14ac:dyDescent="0.25">
      <c r="A22" s="6"/>
      <c r="B22" s="2" t="s">
        <v>657</v>
      </c>
      <c r="C22" s="2"/>
      <c r="D22" s="2"/>
      <c r="E22" s="2"/>
      <c r="F22" s="3"/>
      <c r="G22" s="3">
        <f t="shared" si="8"/>
        <v>0</v>
      </c>
      <c r="H22" s="4">
        <f t="shared" si="0"/>
        <v>0</v>
      </c>
      <c r="I22" s="4">
        <f t="shared" si="1"/>
        <v>0</v>
      </c>
      <c r="J22" s="5">
        <f t="shared" si="2"/>
        <v>0</v>
      </c>
      <c r="L22" s="44" t="s">
        <v>794</v>
      </c>
      <c r="M22" s="34" t="s">
        <v>739</v>
      </c>
      <c r="N22" s="37" t="s">
        <v>740</v>
      </c>
      <c r="O22" s="13" t="s">
        <v>14</v>
      </c>
      <c r="P22" s="2">
        <v>1</v>
      </c>
      <c r="Q22" s="3"/>
      <c r="R22" s="16"/>
      <c r="S22" s="38"/>
      <c r="T22" s="38"/>
      <c r="U22" s="41"/>
      <c r="W22" s="25"/>
      <c r="X22" s="2" t="s">
        <v>745</v>
      </c>
      <c r="Y22" s="2"/>
      <c r="Z22" s="2"/>
      <c r="AA22" s="2"/>
      <c r="AB22" s="3"/>
      <c r="AC22" s="3">
        <f t="shared" si="9"/>
        <v>0</v>
      </c>
      <c r="AD22" s="4">
        <f t="shared" si="5"/>
        <v>0</v>
      </c>
      <c r="AE22" s="4">
        <f t="shared" si="6"/>
        <v>0</v>
      </c>
      <c r="AF22" s="5">
        <f t="shared" si="7"/>
        <v>0</v>
      </c>
    </row>
    <row r="23" spans="1:32" x14ac:dyDescent="0.25">
      <c r="A23" s="6"/>
      <c r="B23" s="2" t="s">
        <v>658</v>
      </c>
      <c r="C23" s="2"/>
      <c r="D23" s="2"/>
      <c r="E23" s="2"/>
      <c r="F23" s="3"/>
      <c r="G23" s="3">
        <f t="shared" si="8"/>
        <v>0</v>
      </c>
      <c r="H23" s="4">
        <f t="shared" si="0"/>
        <v>0</v>
      </c>
      <c r="I23" s="4">
        <f t="shared" si="1"/>
        <v>0</v>
      </c>
      <c r="J23" s="5">
        <f t="shared" si="2"/>
        <v>0</v>
      </c>
      <c r="L23" s="33"/>
      <c r="M23" s="36"/>
      <c r="N23" s="36"/>
      <c r="O23" s="13" t="s">
        <v>16</v>
      </c>
      <c r="P23" s="2">
        <v>1</v>
      </c>
      <c r="Q23" s="3"/>
      <c r="R23" s="16"/>
      <c r="S23" s="40"/>
      <c r="T23" s="40"/>
      <c r="U23" s="43"/>
      <c r="W23" s="25"/>
      <c r="X23" s="2" t="s">
        <v>746</v>
      </c>
      <c r="Y23" s="2"/>
      <c r="Z23" s="2"/>
      <c r="AA23" s="2"/>
      <c r="AB23" s="3"/>
      <c r="AC23" s="3">
        <f t="shared" si="9"/>
        <v>0</v>
      </c>
      <c r="AD23" s="4">
        <f t="shared" si="5"/>
        <v>0</v>
      </c>
      <c r="AE23" s="4">
        <f t="shared" si="6"/>
        <v>0</v>
      </c>
      <c r="AF23" s="5">
        <f t="shared" si="7"/>
        <v>0</v>
      </c>
    </row>
    <row r="24" spans="1:32" x14ac:dyDescent="0.25">
      <c r="A24" s="1"/>
      <c r="B24" s="2" t="s">
        <v>660</v>
      </c>
      <c r="C24" s="2"/>
      <c r="D24" s="2"/>
      <c r="E24" s="2"/>
      <c r="F24" s="3"/>
      <c r="G24" s="3">
        <f t="shared" si="8"/>
        <v>0</v>
      </c>
      <c r="H24" s="4">
        <f t="shared" si="0"/>
        <v>0</v>
      </c>
      <c r="I24" s="4">
        <f t="shared" si="1"/>
        <v>0</v>
      </c>
      <c r="J24" s="5">
        <f t="shared" si="2"/>
        <v>0</v>
      </c>
      <c r="L24" s="6">
        <v>45855</v>
      </c>
      <c r="M24" s="2" t="s">
        <v>710</v>
      </c>
      <c r="N24" s="13" t="s">
        <v>789</v>
      </c>
      <c r="O24" s="13" t="s">
        <v>721</v>
      </c>
      <c r="P24" s="2">
        <v>5</v>
      </c>
      <c r="Q24" s="3">
        <v>3800</v>
      </c>
      <c r="R24" s="3">
        <f t="shared" si="10"/>
        <v>19000</v>
      </c>
      <c r="S24" s="4">
        <f t="shared" si="11"/>
        <v>19000</v>
      </c>
      <c r="T24" s="4">
        <f t="shared" si="3"/>
        <v>950</v>
      </c>
      <c r="U24" s="5">
        <f t="shared" si="4"/>
        <v>19950</v>
      </c>
      <c r="W24" s="25"/>
      <c r="X24" s="2" t="s">
        <v>747</v>
      </c>
      <c r="Y24" s="2"/>
      <c r="Z24" s="2"/>
      <c r="AA24" s="2"/>
      <c r="AB24" s="3"/>
      <c r="AC24" s="3">
        <f t="shared" si="9"/>
        <v>0</v>
      </c>
      <c r="AD24" s="4">
        <f t="shared" si="5"/>
        <v>0</v>
      </c>
      <c r="AE24" s="4">
        <f t="shared" si="6"/>
        <v>0</v>
      </c>
      <c r="AF24" s="5">
        <f t="shared" si="7"/>
        <v>0</v>
      </c>
    </row>
    <row r="25" spans="1:32" x14ac:dyDescent="0.25">
      <c r="A25" s="1"/>
      <c r="B25" s="2" t="s">
        <v>661</v>
      </c>
      <c r="C25" s="2"/>
      <c r="D25" s="2"/>
      <c r="E25" s="2"/>
      <c r="F25" s="3"/>
      <c r="G25" s="3">
        <f t="shared" si="8"/>
        <v>0</v>
      </c>
      <c r="H25" s="4">
        <f t="shared" si="0"/>
        <v>0</v>
      </c>
      <c r="I25" s="4">
        <f t="shared" si="1"/>
        <v>0</v>
      </c>
      <c r="J25" s="5">
        <f t="shared" si="2"/>
        <v>0</v>
      </c>
      <c r="L25" s="6">
        <v>45855</v>
      </c>
      <c r="M25" s="2" t="s">
        <v>711</v>
      </c>
      <c r="N25" s="13" t="s">
        <v>790</v>
      </c>
      <c r="O25" s="13" t="s">
        <v>721</v>
      </c>
      <c r="P25" s="2">
        <v>1</v>
      </c>
      <c r="Q25" s="3">
        <v>4419</v>
      </c>
      <c r="R25" s="3">
        <f t="shared" si="10"/>
        <v>4419</v>
      </c>
      <c r="S25" s="4">
        <f t="shared" si="11"/>
        <v>4419</v>
      </c>
      <c r="T25" s="4">
        <f t="shared" si="3"/>
        <v>221</v>
      </c>
      <c r="U25" s="5">
        <f t="shared" si="4"/>
        <v>4640</v>
      </c>
      <c r="W25" s="25"/>
      <c r="X25" s="2" t="s">
        <v>748</v>
      </c>
      <c r="Y25" s="2"/>
      <c r="Z25" s="2"/>
      <c r="AA25" s="2"/>
      <c r="AB25" s="3"/>
      <c r="AC25" s="3">
        <f t="shared" si="9"/>
        <v>0</v>
      </c>
      <c r="AD25" s="4">
        <f t="shared" si="5"/>
        <v>0</v>
      </c>
      <c r="AE25" s="4">
        <f t="shared" si="6"/>
        <v>0</v>
      </c>
      <c r="AF25" s="5">
        <f t="shared" si="7"/>
        <v>0</v>
      </c>
    </row>
    <row r="26" spans="1:32" x14ac:dyDescent="0.25">
      <c r="A26" s="1"/>
      <c r="B26" s="2" t="s">
        <v>662</v>
      </c>
      <c r="C26" s="2"/>
      <c r="D26" s="2"/>
      <c r="E26" s="2"/>
      <c r="F26" s="3"/>
      <c r="G26" s="3">
        <f t="shared" si="8"/>
        <v>0</v>
      </c>
      <c r="H26" s="4">
        <f t="shared" si="0"/>
        <v>0</v>
      </c>
      <c r="I26" s="4">
        <f t="shared" si="1"/>
        <v>0</v>
      </c>
      <c r="J26" s="5">
        <f t="shared" si="2"/>
        <v>0</v>
      </c>
      <c r="L26" s="6"/>
      <c r="M26" s="2" t="s">
        <v>712</v>
      </c>
      <c r="N26" s="13"/>
      <c r="O26" s="13"/>
      <c r="P26" s="2"/>
      <c r="Q26" s="3"/>
      <c r="R26" s="3">
        <f t="shared" si="10"/>
        <v>0</v>
      </c>
      <c r="S26" s="4">
        <f t="shared" si="11"/>
        <v>0</v>
      </c>
      <c r="T26" s="4">
        <f t="shared" si="3"/>
        <v>0</v>
      </c>
      <c r="U26" s="5">
        <f t="shared" si="4"/>
        <v>0</v>
      </c>
      <c r="W26" s="25"/>
      <c r="X26" s="2" t="s">
        <v>749</v>
      </c>
      <c r="Y26" s="2"/>
      <c r="Z26" s="2"/>
      <c r="AA26" s="2"/>
      <c r="AB26" s="3"/>
      <c r="AC26" s="3">
        <f t="shared" si="9"/>
        <v>0</v>
      </c>
      <c r="AD26" s="4">
        <f t="shared" si="5"/>
        <v>0</v>
      </c>
      <c r="AE26" s="4">
        <f t="shared" si="6"/>
        <v>0</v>
      </c>
      <c r="AF26" s="5">
        <f t="shared" si="7"/>
        <v>0</v>
      </c>
    </row>
    <row r="27" spans="1:32" x14ac:dyDescent="0.25">
      <c r="A27" s="1"/>
      <c r="B27" s="2" t="s">
        <v>663</v>
      </c>
      <c r="C27" s="2"/>
      <c r="D27" s="2"/>
      <c r="E27" s="2"/>
      <c r="F27" s="3"/>
      <c r="G27" s="3">
        <f t="shared" si="8"/>
        <v>0</v>
      </c>
      <c r="H27" s="4">
        <f t="shared" si="0"/>
        <v>0</v>
      </c>
      <c r="I27" s="4">
        <f t="shared" si="1"/>
        <v>0</v>
      </c>
      <c r="J27" s="5">
        <f t="shared" si="2"/>
        <v>0</v>
      </c>
      <c r="L27" s="6">
        <v>45859</v>
      </c>
      <c r="M27" s="2" t="s">
        <v>713</v>
      </c>
      <c r="N27" s="13" t="s">
        <v>791</v>
      </c>
      <c r="O27" s="13" t="s">
        <v>14</v>
      </c>
      <c r="P27" s="2">
        <v>1</v>
      </c>
      <c r="Q27" s="3">
        <v>2900</v>
      </c>
      <c r="R27" s="3">
        <f t="shared" si="10"/>
        <v>2900</v>
      </c>
      <c r="S27" s="4">
        <f t="shared" si="11"/>
        <v>2900</v>
      </c>
      <c r="T27" s="4">
        <f t="shared" si="3"/>
        <v>145</v>
      </c>
      <c r="U27" s="5">
        <f t="shared" si="4"/>
        <v>3045</v>
      </c>
      <c r="W27" s="25"/>
      <c r="X27" s="2" t="s">
        <v>750</v>
      </c>
      <c r="Y27" s="2"/>
      <c r="Z27" s="2"/>
      <c r="AA27" s="2"/>
      <c r="AB27" s="3"/>
      <c r="AC27" s="3">
        <f t="shared" si="9"/>
        <v>0</v>
      </c>
      <c r="AD27" s="4">
        <f t="shared" si="5"/>
        <v>0</v>
      </c>
      <c r="AE27" s="4">
        <f t="shared" si="6"/>
        <v>0</v>
      </c>
      <c r="AF27" s="5">
        <f t="shared" si="7"/>
        <v>0</v>
      </c>
    </row>
    <row r="28" spans="1:32" x14ac:dyDescent="0.25">
      <c r="A28" s="1"/>
      <c r="B28" s="2" t="s">
        <v>664</v>
      </c>
      <c r="C28" s="2"/>
      <c r="D28" s="2"/>
      <c r="E28" s="2"/>
      <c r="F28" s="3"/>
      <c r="G28" s="3">
        <f t="shared" si="8"/>
        <v>0</v>
      </c>
      <c r="H28" s="4">
        <f t="shared" si="0"/>
        <v>0</v>
      </c>
      <c r="I28" s="4">
        <f t="shared" si="1"/>
        <v>0</v>
      </c>
      <c r="J28" s="5">
        <f t="shared" si="2"/>
        <v>0</v>
      </c>
      <c r="L28" s="6">
        <v>45870</v>
      </c>
      <c r="M28" s="2" t="s">
        <v>714</v>
      </c>
      <c r="N28" s="13" t="s">
        <v>800</v>
      </c>
      <c r="O28" s="13" t="s">
        <v>14</v>
      </c>
      <c r="P28" s="2">
        <v>37</v>
      </c>
      <c r="Q28" s="3">
        <v>2037.84</v>
      </c>
      <c r="R28" s="3">
        <f t="shared" si="10"/>
        <v>75400.08</v>
      </c>
      <c r="S28" s="4">
        <f t="shared" si="11"/>
        <v>75400.08</v>
      </c>
      <c r="T28" s="4">
        <f t="shared" si="3"/>
        <v>3770</v>
      </c>
      <c r="U28" s="5">
        <f t="shared" si="4"/>
        <v>79170.080000000002</v>
      </c>
      <c r="W28" s="25"/>
      <c r="X28" s="2" t="s">
        <v>751</v>
      </c>
      <c r="Y28" s="2"/>
      <c r="Z28" s="2"/>
      <c r="AA28" s="2"/>
      <c r="AB28" s="3"/>
      <c r="AC28" s="3">
        <f t="shared" si="9"/>
        <v>0</v>
      </c>
      <c r="AD28" s="4">
        <f t="shared" si="5"/>
        <v>0</v>
      </c>
      <c r="AE28" s="4">
        <f t="shared" si="6"/>
        <v>0</v>
      </c>
      <c r="AF28" s="5">
        <f t="shared" si="7"/>
        <v>0</v>
      </c>
    </row>
    <row r="29" spans="1:32" x14ac:dyDescent="0.25">
      <c r="A29" s="1"/>
      <c r="B29" s="2" t="s">
        <v>665</v>
      </c>
      <c r="C29" s="2"/>
      <c r="D29" s="2"/>
      <c r="E29" s="2"/>
      <c r="F29" s="3"/>
      <c r="G29" s="3">
        <f t="shared" si="8"/>
        <v>0</v>
      </c>
      <c r="H29" s="4">
        <f t="shared" si="0"/>
        <v>0</v>
      </c>
      <c r="I29" s="4">
        <f t="shared" si="1"/>
        <v>0</v>
      </c>
      <c r="J29" s="5">
        <f t="shared" si="2"/>
        <v>0</v>
      </c>
      <c r="L29" s="6">
        <v>45870</v>
      </c>
      <c r="M29" s="2" t="s">
        <v>715</v>
      </c>
      <c r="N29" s="13" t="s">
        <v>75</v>
      </c>
      <c r="O29" s="13" t="s">
        <v>14</v>
      </c>
      <c r="P29" s="2">
        <v>20</v>
      </c>
      <c r="Q29" s="3">
        <v>2575</v>
      </c>
      <c r="R29" s="3">
        <f t="shared" si="10"/>
        <v>51500</v>
      </c>
      <c r="S29" s="4">
        <f t="shared" si="11"/>
        <v>51500</v>
      </c>
      <c r="T29" s="4">
        <f t="shared" si="3"/>
        <v>2575</v>
      </c>
      <c r="U29" s="5">
        <f t="shared" si="4"/>
        <v>54075</v>
      </c>
      <c r="W29" s="25"/>
      <c r="X29" s="2" t="s">
        <v>752</v>
      </c>
      <c r="Y29" s="2"/>
      <c r="Z29" s="2"/>
      <c r="AA29" s="2"/>
      <c r="AB29" s="3"/>
      <c r="AC29" s="3">
        <f t="shared" si="9"/>
        <v>0</v>
      </c>
      <c r="AD29" s="4">
        <f t="shared" si="5"/>
        <v>0</v>
      </c>
      <c r="AE29" s="4">
        <f t="shared" si="6"/>
        <v>0</v>
      </c>
      <c r="AF29" s="5">
        <f t="shared" si="7"/>
        <v>0</v>
      </c>
    </row>
    <row r="30" spans="1:32" x14ac:dyDescent="0.25">
      <c r="A30" s="1"/>
      <c r="B30" s="2" t="s">
        <v>666</v>
      </c>
      <c r="C30" s="2"/>
      <c r="D30" s="2"/>
      <c r="E30" s="2"/>
      <c r="F30" s="3"/>
      <c r="G30" s="3">
        <f t="shared" si="8"/>
        <v>0</v>
      </c>
      <c r="H30" s="4">
        <f t="shared" si="0"/>
        <v>0</v>
      </c>
      <c r="I30" s="4">
        <f t="shared" si="1"/>
        <v>0</v>
      </c>
      <c r="J30" s="5">
        <f t="shared" si="2"/>
        <v>0</v>
      </c>
      <c r="L30" s="6">
        <v>45870</v>
      </c>
      <c r="M30" s="2" t="s">
        <v>716</v>
      </c>
      <c r="N30" s="13" t="s">
        <v>74</v>
      </c>
      <c r="O30" s="13" t="s">
        <v>14</v>
      </c>
      <c r="P30" s="2">
        <v>159</v>
      </c>
      <c r="Q30" s="3">
        <v>2152.33</v>
      </c>
      <c r="R30" s="3">
        <f t="shared" si="10"/>
        <v>342220.47</v>
      </c>
      <c r="S30" s="4">
        <f t="shared" si="11"/>
        <v>342220.47</v>
      </c>
      <c r="T30" s="4">
        <f t="shared" si="3"/>
        <v>17111</v>
      </c>
      <c r="U30" s="5">
        <f t="shared" si="4"/>
        <v>359331.47</v>
      </c>
      <c r="W30" s="25"/>
      <c r="X30" s="2" t="s">
        <v>753</v>
      </c>
      <c r="Y30" s="2"/>
      <c r="Z30" s="2"/>
      <c r="AA30" s="2"/>
      <c r="AB30" s="3"/>
      <c r="AC30" s="3">
        <f t="shared" si="9"/>
        <v>0</v>
      </c>
      <c r="AD30" s="4">
        <f t="shared" si="5"/>
        <v>0</v>
      </c>
      <c r="AE30" s="4">
        <f t="shared" si="6"/>
        <v>0</v>
      </c>
      <c r="AF30" s="5">
        <f t="shared" si="7"/>
        <v>0</v>
      </c>
    </row>
    <row r="31" spans="1:32" x14ac:dyDescent="0.25">
      <c r="A31" s="1"/>
      <c r="B31" s="2" t="s">
        <v>667</v>
      </c>
      <c r="C31" s="2"/>
      <c r="D31" s="2"/>
      <c r="E31" s="2"/>
      <c r="F31" s="3"/>
      <c r="G31" s="3">
        <f t="shared" si="8"/>
        <v>0</v>
      </c>
      <c r="H31" s="4">
        <f t="shared" si="0"/>
        <v>0</v>
      </c>
      <c r="I31" s="4">
        <f t="shared" si="1"/>
        <v>0</v>
      </c>
      <c r="J31" s="5">
        <f t="shared" si="2"/>
        <v>0</v>
      </c>
      <c r="L31" s="31">
        <v>45870</v>
      </c>
      <c r="M31" s="34" t="s">
        <v>801</v>
      </c>
      <c r="N31" s="37" t="s">
        <v>365</v>
      </c>
      <c r="O31" s="13" t="s">
        <v>14</v>
      </c>
      <c r="P31" s="2">
        <v>1</v>
      </c>
      <c r="Q31" s="3">
        <v>4350</v>
      </c>
      <c r="R31" s="16">
        <v>4350</v>
      </c>
      <c r="S31" s="38">
        <f>R31+R32</f>
        <v>8350</v>
      </c>
      <c r="T31" s="65">
        <f t="shared" si="3"/>
        <v>418</v>
      </c>
      <c r="U31" s="41">
        <f t="shared" si="4"/>
        <v>8768</v>
      </c>
      <c r="W31" s="25"/>
      <c r="X31" s="2" t="s">
        <v>754</v>
      </c>
      <c r="Y31" s="2"/>
      <c r="Z31" s="2"/>
      <c r="AA31" s="2"/>
      <c r="AB31" s="3"/>
      <c r="AC31" s="3">
        <f t="shared" si="9"/>
        <v>0</v>
      </c>
      <c r="AD31" s="4">
        <f t="shared" si="5"/>
        <v>0</v>
      </c>
      <c r="AE31" s="4">
        <f t="shared" si="6"/>
        <v>0</v>
      </c>
      <c r="AF31" s="5">
        <f t="shared" si="7"/>
        <v>0</v>
      </c>
    </row>
    <row r="32" spans="1:32" x14ac:dyDescent="0.25">
      <c r="A32" s="1"/>
      <c r="B32" s="2" t="s">
        <v>668</v>
      </c>
      <c r="C32" s="2"/>
      <c r="D32" s="2"/>
      <c r="E32" s="2"/>
      <c r="F32" s="3"/>
      <c r="G32" s="3">
        <f t="shared" si="8"/>
        <v>0</v>
      </c>
      <c r="H32" s="4">
        <f t="shared" si="0"/>
        <v>0</v>
      </c>
      <c r="I32" s="4">
        <f t="shared" si="1"/>
        <v>0</v>
      </c>
      <c r="J32" s="5">
        <f t="shared" si="2"/>
        <v>0</v>
      </c>
      <c r="L32" s="33"/>
      <c r="M32" s="36"/>
      <c r="N32" s="36"/>
      <c r="O32" s="13" t="s">
        <v>16</v>
      </c>
      <c r="P32" s="2">
        <v>12</v>
      </c>
      <c r="Q32" s="3">
        <v>333.33</v>
      </c>
      <c r="R32" s="16">
        <v>4000</v>
      </c>
      <c r="S32" s="40"/>
      <c r="T32" s="66"/>
      <c r="U32" s="43"/>
      <c r="W32" s="25"/>
      <c r="X32" s="2" t="s">
        <v>755</v>
      </c>
      <c r="Y32" s="2"/>
      <c r="Z32" s="2"/>
      <c r="AA32" s="2"/>
      <c r="AB32" s="3"/>
      <c r="AC32" s="3">
        <f t="shared" si="9"/>
        <v>0</v>
      </c>
      <c r="AD32" s="4">
        <f t="shared" si="5"/>
        <v>0</v>
      </c>
      <c r="AE32" s="4">
        <f t="shared" si="6"/>
        <v>0</v>
      </c>
      <c r="AF32" s="5">
        <f t="shared" si="7"/>
        <v>0</v>
      </c>
    </row>
    <row r="33" spans="1:32" x14ac:dyDescent="0.25">
      <c r="A33" s="1"/>
      <c r="B33" s="2" t="s">
        <v>669</v>
      </c>
      <c r="C33" s="2"/>
      <c r="D33" s="2"/>
      <c r="E33" s="2"/>
      <c r="F33" s="3"/>
      <c r="G33" s="3">
        <f t="shared" si="8"/>
        <v>0</v>
      </c>
      <c r="H33" s="4">
        <f t="shared" si="0"/>
        <v>0</v>
      </c>
      <c r="I33" s="4">
        <f t="shared" si="1"/>
        <v>0</v>
      </c>
      <c r="J33" s="5">
        <f t="shared" si="2"/>
        <v>0</v>
      </c>
      <c r="L33" s="6">
        <v>45870</v>
      </c>
      <c r="M33" s="2" t="s">
        <v>717</v>
      </c>
      <c r="N33" s="13" t="s">
        <v>802</v>
      </c>
      <c r="O33" s="13" t="s">
        <v>16</v>
      </c>
      <c r="P33" s="2">
        <v>5</v>
      </c>
      <c r="Q33" s="3">
        <v>1330</v>
      </c>
      <c r="R33" s="3">
        <f t="shared" si="10"/>
        <v>6650</v>
      </c>
      <c r="S33" s="4">
        <f t="shared" si="11"/>
        <v>6650</v>
      </c>
      <c r="T33" s="4">
        <f t="shared" si="3"/>
        <v>333</v>
      </c>
      <c r="U33" s="5">
        <f t="shared" si="4"/>
        <v>6983</v>
      </c>
      <c r="W33" s="25"/>
      <c r="X33" s="2" t="s">
        <v>756</v>
      </c>
      <c r="Y33" s="2"/>
      <c r="Z33" s="2"/>
      <c r="AA33" s="2"/>
      <c r="AB33" s="3"/>
      <c r="AC33" s="3">
        <f t="shared" si="9"/>
        <v>0</v>
      </c>
      <c r="AD33" s="4">
        <f t="shared" si="5"/>
        <v>0</v>
      </c>
      <c r="AE33" s="4">
        <f t="shared" si="6"/>
        <v>0</v>
      </c>
      <c r="AF33" s="5">
        <f t="shared" si="7"/>
        <v>0</v>
      </c>
    </row>
    <row r="34" spans="1:32" x14ac:dyDescent="0.25">
      <c r="A34" s="1"/>
      <c r="B34" s="2" t="s">
        <v>670</v>
      </c>
      <c r="C34" s="2"/>
      <c r="D34" s="2"/>
      <c r="E34" s="2"/>
      <c r="F34" s="3"/>
      <c r="G34" s="3">
        <f t="shared" si="8"/>
        <v>0</v>
      </c>
      <c r="H34" s="4">
        <f t="shared" si="0"/>
        <v>0</v>
      </c>
      <c r="I34" s="4">
        <f t="shared" si="1"/>
        <v>0</v>
      </c>
      <c r="J34" s="5">
        <f t="shared" si="2"/>
        <v>0</v>
      </c>
      <c r="L34" s="6">
        <v>45870</v>
      </c>
      <c r="M34" s="2" t="s">
        <v>718</v>
      </c>
      <c r="N34" s="13" t="s">
        <v>803</v>
      </c>
      <c r="O34" s="13" t="s">
        <v>14</v>
      </c>
      <c r="P34" s="2">
        <v>1</v>
      </c>
      <c r="Q34" s="3">
        <v>2800</v>
      </c>
      <c r="R34" s="3">
        <f t="shared" si="10"/>
        <v>2800</v>
      </c>
      <c r="S34" s="4">
        <f t="shared" si="11"/>
        <v>2800</v>
      </c>
      <c r="T34" s="4">
        <f t="shared" si="3"/>
        <v>140</v>
      </c>
      <c r="U34" s="5">
        <f t="shared" si="4"/>
        <v>2940</v>
      </c>
      <c r="W34" s="25"/>
      <c r="X34" s="2" t="s">
        <v>757</v>
      </c>
      <c r="Y34" s="2"/>
      <c r="Z34" s="2"/>
      <c r="AA34" s="2"/>
      <c r="AB34" s="3"/>
      <c r="AC34" s="3">
        <f t="shared" si="9"/>
        <v>0</v>
      </c>
      <c r="AD34" s="4">
        <f t="shared" si="5"/>
        <v>0</v>
      </c>
      <c r="AE34" s="4">
        <f t="shared" si="6"/>
        <v>0</v>
      </c>
      <c r="AF34" s="5">
        <f t="shared" si="7"/>
        <v>0</v>
      </c>
    </row>
    <row r="35" spans="1:32" x14ac:dyDescent="0.25">
      <c r="A35" s="1"/>
      <c r="B35" s="2" t="s">
        <v>671</v>
      </c>
      <c r="C35" s="2"/>
      <c r="D35" s="2"/>
      <c r="E35" s="2"/>
      <c r="F35" s="3"/>
      <c r="G35" s="3">
        <f t="shared" si="8"/>
        <v>0</v>
      </c>
      <c r="H35" s="4">
        <f t="shared" si="0"/>
        <v>0</v>
      </c>
      <c r="I35" s="4">
        <f t="shared" si="1"/>
        <v>0</v>
      </c>
      <c r="J35" s="5">
        <f t="shared" si="2"/>
        <v>0</v>
      </c>
      <c r="L35" s="31">
        <v>45870</v>
      </c>
      <c r="M35" s="34" t="s">
        <v>805</v>
      </c>
      <c r="N35" s="37" t="s">
        <v>804</v>
      </c>
      <c r="O35" s="13" t="s">
        <v>14</v>
      </c>
      <c r="P35" s="2">
        <v>217</v>
      </c>
      <c r="Q35" s="3">
        <f>R35/P35</f>
        <v>2215.2073732718895</v>
      </c>
      <c r="R35" s="16">
        <v>480700</v>
      </c>
      <c r="S35" s="38">
        <f>R35+R36</f>
        <v>491500</v>
      </c>
      <c r="T35" s="38">
        <f t="shared" si="3"/>
        <v>24575</v>
      </c>
      <c r="U35" s="41">
        <f t="shared" si="4"/>
        <v>516075</v>
      </c>
      <c r="W35" s="25"/>
      <c r="X35" s="2" t="s">
        <v>758</v>
      </c>
      <c r="Y35" s="2"/>
      <c r="Z35" s="2"/>
      <c r="AA35" s="2"/>
      <c r="AB35" s="3"/>
      <c r="AC35" s="3">
        <f t="shared" si="9"/>
        <v>0</v>
      </c>
      <c r="AD35" s="4">
        <f t="shared" si="5"/>
        <v>0</v>
      </c>
      <c r="AE35" s="4">
        <f t="shared" si="6"/>
        <v>0</v>
      </c>
      <c r="AF35" s="5">
        <f t="shared" si="7"/>
        <v>0</v>
      </c>
    </row>
    <row r="36" spans="1:32" x14ac:dyDescent="0.25">
      <c r="A36" s="1"/>
      <c r="B36" s="2" t="s">
        <v>672</v>
      </c>
      <c r="C36" s="2"/>
      <c r="D36" s="2"/>
      <c r="E36" s="2"/>
      <c r="F36" s="3"/>
      <c r="G36" s="3">
        <f t="shared" si="8"/>
        <v>0</v>
      </c>
      <c r="H36" s="4">
        <f t="shared" si="0"/>
        <v>0</v>
      </c>
      <c r="I36" s="4">
        <f t="shared" si="1"/>
        <v>0</v>
      </c>
      <c r="J36" s="5">
        <f t="shared" si="2"/>
        <v>0</v>
      </c>
      <c r="L36" s="33"/>
      <c r="M36" s="36"/>
      <c r="N36" s="36"/>
      <c r="O36" s="13" t="s">
        <v>16</v>
      </c>
      <c r="P36" s="2">
        <v>4</v>
      </c>
      <c r="Q36" s="3">
        <v>2700</v>
      </c>
      <c r="R36" s="16">
        <f t="shared" si="10"/>
        <v>10800</v>
      </c>
      <c r="S36" s="40"/>
      <c r="T36" s="40"/>
      <c r="U36" s="43"/>
      <c r="W36" s="25"/>
      <c r="X36" s="2" t="s">
        <v>759</v>
      </c>
      <c r="Y36" s="2"/>
      <c r="Z36" s="2"/>
      <c r="AA36" s="2"/>
      <c r="AB36" s="3"/>
      <c r="AC36" s="3">
        <f t="shared" si="9"/>
        <v>0</v>
      </c>
      <c r="AD36" s="4">
        <f t="shared" si="5"/>
        <v>0</v>
      </c>
      <c r="AE36" s="4">
        <f t="shared" si="6"/>
        <v>0</v>
      </c>
      <c r="AF36" s="5">
        <f t="shared" si="7"/>
        <v>0</v>
      </c>
    </row>
    <row r="37" spans="1:32" x14ac:dyDescent="0.25">
      <c r="A37" s="1"/>
      <c r="B37" s="2" t="s">
        <v>673</v>
      </c>
      <c r="C37" s="2"/>
      <c r="D37" s="2"/>
      <c r="E37" s="2"/>
      <c r="F37" s="3"/>
      <c r="G37" s="3">
        <f t="shared" si="8"/>
        <v>0</v>
      </c>
      <c r="H37" s="4">
        <f t="shared" si="0"/>
        <v>0</v>
      </c>
      <c r="I37" s="4">
        <f t="shared" si="1"/>
        <v>0</v>
      </c>
      <c r="J37" s="5">
        <f t="shared" si="2"/>
        <v>0</v>
      </c>
      <c r="L37" s="31">
        <v>45870</v>
      </c>
      <c r="M37" s="34" t="s">
        <v>807</v>
      </c>
      <c r="N37" s="37" t="s">
        <v>808</v>
      </c>
      <c r="O37" s="13" t="s">
        <v>14</v>
      </c>
      <c r="P37" s="2">
        <v>2</v>
      </c>
      <c r="Q37" s="3">
        <v>2900</v>
      </c>
      <c r="R37" s="16">
        <f t="shared" si="10"/>
        <v>5800</v>
      </c>
      <c r="S37" s="38">
        <f>R37+R38</f>
        <v>12200</v>
      </c>
      <c r="T37" s="38">
        <f t="shared" ref="T37" si="12">ROUND(S37*0.05,0)</f>
        <v>610</v>
      </c>
      <c r="U37" s="41">
        <f t="shared" ref="U37" si="13">S37+T37</f>
        <v>12810</v>
      </c>
      <c r="W37" s="25"/>
      <c r="X37" s="2" t="s">
        <v>760</v>
      </c>
      <c r="Y37" s="2"/>
      <c r="Z37" s="2"/>
      <c r="AA37" s="2"/>
      <c r="AB37" s="3"/>
      <c r="AC37" s="3">
        <f t="shared" si="9"/>
        <v>0</v>
      </c>
      <c r="AD37" s="4">
        <f t="shared" si="5"/>
        <v>0</v>
      </c>
      <c r="AE37" s="4">
        <f t="shared" si="6"/>
        <v>0</v>
      </c>
      <c r="AF37" s="5">
        <f t="shared" si="7"/>
        <v>0</v>
      </c>
    </row>
    <row r="38" spans="1:32" x14ac:dyDescent="0.25">
      <c r="A38" s="1"/>
      <c r="B38" s="2" t="s">
        <v>674</v>
      </c>
      <c r="C38" s="2"/>
      <c r="D38" s="2"/>
      <c r="E38" s="2"/>
      <c r="F38" s="3"/>
      <c r="G38" s="3">
        <f t="shared" si="8"/>
        <v>0</v>
      </c>
      <c r="H38" s="4">
        <f t="shared" si="0"/>
        <v>0</v>
      </c>
      <c r="I38" s="4">
        <f t="shared" si="1"/>
        <v>0</v>
      </c>
      <c r="J38" s="5">
        <f t="shared" si="2"/>
        <v>0</v>
      </c>
      <c r="L38" s="33"/>
      <c r="M38" s="36"/>
      <c r="N38" s="36"/>
      <c r="O38" s="13" t="s">
        <v>16</v>
      </c>
      <c r="P38" s="2">
        <v>2</v>
      </c>
      <c r="Q38" s="3">
        <v>3200</v>
      </c>
      <c r="R38" s="16">
        <f t="shared" si="10"/>
        <v>6400</v>
      </c>
      <c r="S38" s="40"/>
      <c r="T38" s="40"/>
      <c r="U38" s="43"/>
      <c r="W38" s="25"/>
      <c r="X38" s="2" t="s">
        <v>761</v>
      </c>
      <c r="Y38" s="2"/>
      <c r="Z38" s="2"/>
      <c r="AA38" s="2"/>
      <c r="AB38" s="3"/>
      <c r="AC38" s="3">
        <f t="shared" si="9"/>
        <v>0</v>
      </c>
      <c r="AD38" s="4">
        <f t="shared" si="5"/>
        <v>0</v>
      </c>
      <c r="AE38" s="4">
        <f t="shared" si="6"/>
        <v>0</v>
      </c>
      <c r="AF38" s="5">
        <f t="shared" si="7"/>
        <v>0</v>
      </c>
    </row>
    <row r="39" spans="1:32" x14ac:dyDescent="0.25">
      <c r="A39" s="1"/>
      <c r="B39" s="2" t="s">
        <v>675</v>
      </c>
      <c r="C39" s="2"/>
      <c r="D39" s="2"/>
      <c r="E39" s="2"/>
      <c r="F39" s="3"/>
      <c r="G39" s="3">
        <f t="shared" si="8"/>
        <v>0</v>
      </c>
      <c r="H39" s="4">
        <f t="shared" si="0"/>
        <v>0</v>
      </c>
      <c r="I39" s="4">
        <f t="shared" si="1"/>
        <v>0</v>
      </c>
      <c r="J39" s="5">
        <f t="shared" si="2"/>
        <v>0</v>
      </c>
      <c r="L39" s="6">
        <v>45875</v>
      </c>
      <c r="M39" s="2" t="s">
        <v>806</v>
      </c>
      <c r="N39" s="13" t="s">
        <v>809</v>
      </c>
      <c r="O39" s="13" t="s">
        <v>14</v>
      </c>
      <c r="P39" s="2">
        <v>3</v>
      </c>
      <c r="Q39" s="3">
        <v>2250</v>
      </c>
      <c r="R39" s="3">
        <f t="shared" si="10"/>
        <v>6750</v>
      </c>
      <c r="S39" s="4">
        <f t="shared" si="11"/>
        <v>6750</v>
      </c>
      <c r="T39" s="4">
        <f t="shared" si="3"/>
        <v>338</v>
      </c>
      <c r="U39" s="5">
        <f t="shared" si="4"/>
        <v>7088</v>
      </c>
      <c r="W39" s="25"/>
      <c r="X39" s="2" t="s">
        <v>762</v>
      </c>
      <c r="Y39" s="2"/>
      <c r="Z39" s="2"/>
      <c r="AA39" s="2"/>
      <c r="AB39" s="3"/>
      <c r="AC39" s="3">
        <f t="shared" si="9"/>
        <v>0</v>
      </c>
      <c r="AD39" s="4">
        <f t="shared" si="5"/>
        <v>0</v>
      </c>
      <c r="AE39" s="4">
        <f t="shared" si="6"/>
        <v>0</v>
      </c>
      <c r="AF39" s="5">
        <f t="shared" si="7"/>
        <v>0</v>
      </c>
    </row>
    <row r="40" spans="1:32" x14ac:dyDescent="0.25">
      <c r="A40" s="1"/>
      <c r="B40" s="2" t="s">
        <v>676</v>
      </c>
      <c r="C40" s="2"/>
      <c r="D40" s="2"/>
      <c r="E40" s="2"/>
      <c r="F40" s="3"/>
      <c r="G40" s="3">
        <f t="shared" si="8"/>
        <v>0</v>
      </c>
      <c r="H40" s="4">
        <f t="shared" si="0"/>
        <v>0</v>
      </c>
      <c r="I40" s="4">
        <f t="shared" si="1"/>
        <v>0</v>
      </c>
      <c r="J40" s="5">
        <f t="shared" si="2"/>
        <v>0</v>
      </c>
      <c r="L40" s="31">
        <v>45876</v>
      </c>
      <c r="M40" s="34" t="s">
        <v>810</v>
      </c>
      <c r="N40" s="37" t="s">
        <v>173</v>
      </c>
      <c r="O40" s="13" t="s">
        <v>14</v>
      </c>
      <c r="P40" s="2">
        <v>1</v>
      </c>
      <c r="Q40" s="3">
        <v>3300</v>
      </c>
      <c r="R40" s="16">
        <f t="shared" si="10"/>
        <v>3300</v>
      </c>
      <c r="S40" s="38">
        <f>R40+R41</f>
        <v>5900</v>
      </c>
      <c r="T40" s="38">
        <f t="shared" si="3"/>
        <v>295</v>
      </c>
      <c r="U40" s="41">
        <f t="shared" si="4"/>
        <v>6195</v>
      </c>
      <c r="W40" s="25"/>
      <c r="X40" s="2" t="s">
        <v>763</v>
      </c>
      <c r="Y40" s="2"/>
      <c r="Z40" s="2"/>
      <c r="AA40" s="2"/>
      <c r="AB40" s="3"/>
      <c r="AC40" s="3">
        <f t="shared" si="9"/>
        <v>0</v>
      </c>
      <c r="AD40" s="4">
        <f t="shared" si="5"/>
        <v>0</v>
      </c>
      <c r="AE40" s="4">
        <f t="shared" si="6"/>
        <v>0</v>
      </c>
      <c r="AF40" s="5">
        <f t="shared" si="7"/>
        <v>0</v>
      </c>
    </row>
    <row r="41" spans="1:32" x14ac:dyDescent="0.25">
      <c r="A41" s="1"/>
      <c r="B41" s="2" t="s">
        <v>677</v>
      </c>
      <c r="C41" s="2"/>
      <c r="D41" s="2"/>
      <c r="E41" s="2"/>
      <c r="F41" s="3"/>
      <c r="G41" s="3">
        <f t="shared" si="8"/>
        <v>0</v>
      </c>
      <c r="H41" s="4">
        <f t="shared" si="0"/>
        <v>0</v>
      </c>
      <c r="I41" s="4">
        <f t="shared" si="1"/>
        <v>0</v>
      </c>
      <c r="J41" s="5">
        <f t="shared" si="2"/>
        <v>0</v>
      </c>
      <c r="L41" s="33"/>
      <c r="M41" s="36"/>
      <c r="N41" s="36"/>
      <c r="O41" s="13" t="s">
        <v>16</v>
      </c>
      <c r="P41" s="2">
        <v>1</v>
      </c>
      <c r="Q41" s="3">
        <v>2600</v>
      </c>
      <c r="R41" s="16">
        <f t="shared" si="10"/>
        <v>2600</v>
      </c>
      <c r="S41" s="40"/>
      <c r="T41" s="40"/>
      <c r="U41" s="43"/>
      <c r="W41" s="25"/>
      <c r="X41" s="2" t="s">
        <v>764</v>
      </c>
      <c r="Y41" s="2"/>
      <c r="Z41" s="2"/>
      <c r="AA41" s="2"/>
      <c r="AB41" s="3"/>
      <c r="AC41" s="3">
        <f t="shared" si="9"/>
        <v>0</v>
      </c>
      <c r="AD41" s="4">
        <f t="shared" si="5"/>
        <v>0</v>
      </c>
      <c r="AE41" s="4">
        <f t="shared" si="6"/>
        <v>0</v>
      </c>
      <c r="AF41" s="5">
        <f t="shared" si="7"/>
        <v>0</v>
      </c>
    </row>
    <row r="42" spans="1:32" x14ac:dyDescent="0.25">
      <c r="A42" s="1"/>
      <c r="B42" s="2" t="s">
        <v>678</v>
      </c>
      <c r="C42" s="2"/>
      <c r="D42" s="2"/>
      <c r="E42" s="2"/>
      <c r="F42" s="3"/>
      <c r="G42" s="3">
        <f t="shared" si="8"/>
        <v>0</v>
      </c>
      <c r="H42" s="4">
        <f t="shared" si="0"/>
        <v>0</v>
      </c>
      <c r="I42" s="4">
        <f t="shared" si="1"/>
        <v>0</v>
      </c>
      <c r="J42" s="5">
        <f t="shared" si="2"/>
        <v>0</v>
      </c>
      <c r="L42" s="6">
        <v>45877</v>
      </c>
      <c r="M42" s="2" t="s">
        <v>719</v>
      </c>
      <c r="N42" s="13" t="s">
        <v>811</v>
      </c>
      <c r="O42" s="13" t="s">
        <v>14</v>
      </c>
      <c r="P42" s="2">
        <v>5</v>
      </c>
      <c r="Q42" s="3">
        <v>3581</v>
      </c>
      <c r="R42" s="3">
        <f t="shared" si="10"/>
        <v>17905</v>
      </c>
      <c r="S42" s="4">
        <f t="shared" si="11"/>
        <v>17905</v>
      </c>
      <c r="T42" s="4">
        <f t="shared" si="3"/>
        <v>895</v>
      </c>
      <c r="U42" s="5">
        <f t="shared" si="4"/>
        <v>18800</v>
      </c>
      <c r="W42" s="25"/>
      <c r="X42" s="2" t="s">
        <v>765</v>
      </c>
      <c r="Y42" s="2"/>
      <c r="Z42" s="2"/>
      <c r="AA42" s="2"/>
      <c r="AB42" s="3"/>
      <c r="AC42" s="3">
        <f t="shared" si="9"/>
        <v>0</v>
      </c>
      <c r="AD42" s="4">
        <f t="shared" si="5"/>
        <v>0</v>
      </c>
      <c r="AE42" s="4">
        <f t="shared" si="6"/>
        <v>0</v>
      </c>
      <c r="AF42" s="5">
        <f t="shared" si="7"/>
        <v>0</v>
      </c>
    </row>
    <row r="43" spans="1:32" x14ac:dyDescent="0.25">
      <c r="A43" s="1"/>
      <c r="B43" s="2" t="s">
        <v>679</v>
      </c>
      <c r="C43" s="2"/>
      <c r="D43" s="2"/>
      <c r="E43" s="2"/>
      <c r="F43" s="3"/>
      <c r="G43" s="3">
        <f t="shared" si="8"/>
        <v>0</v>
      </c>
      <c r="H43" s="4">
        <f t="shared" si="0"/>
        <v>0</v>
      </c>
      <c r="I43" s="4">
        <f t="shared" si="1"/>
        <v>0</v>
      </c>
      <c r="J43" s="5">
        <f t="shared" si="2"/>
        <v>0</v>
      </c>
      <c r="L43" s="6">
        <v>45877</v>
      </c>
      <c r="M43" s="2" t="s">
        <v>741</v>
      </c>
      <c r="N43" s="13" t="s">
        <v>607</v>
      </c>
      <c r="O43" s="13" t="s">
        <v>14</v>
      </c>
      <c r="P43" s="2">
        <v>4</v>
      </c>
      <c r="Q43" s="3">
        <v>3275</v>
      </c>
      <c r="R43" s="3">
        <f t="shared" si="10"/>
        <v>13100</v>
      </c>
      <c r="S43" s="4">
        <f t="shared" si="11"/>
        <v>13100</v>
      </c>
      <c r="T43" s="4">
        <f t="shared" si="3"/>
        <v>655</v>
      </c>
      <c r="U43" s="5">
        <f t="shared" si="4"/>
        <v>13755</v>
      </c>
      <c r="W43" s="25"/>
      <c r="X43" s="2" t="s">
        <v>766</v>
      </c>
      <c r="Y43" s="2"/>
      <c r="Z43" s="2"/>
      <c r="AA43" s="2"/>
      <c r="AB43" s="3"/>
      <c r="AC43" s="3">
        <f t="shared" si="9"/>
        <v>0</v>
      </c>
      <c r="AD43" s="4">
        <f t="shared" si="5"/>
        <v>0</v>
      </c>
      <c r="AE43" s="4">
        <f t="shared" si="6"/>
        <v>0</v>
      </c>
      <c r="AF43" s="5">
        <f t="shared" si="7"/>
        <v>0</v>
      </c>
    </row>
    <row r="44" spans="1:32" x14ac:dyDescent="0.25">
      <c r="A44" s="1"/>
      <c r="B44" s="2" t="s">
        <v>680</v>
      </c>
      <c r="C44" s="2"/>
      <c r="D44" s="2"/>
      <c r="E44" s="2"/>
      <c r="F44" s="3"/>
      <c r="G44" s="3">
        <f t="shared" si="8"/>
        <v>0</v>
      </c>
      <c r="H44" s="4">
        <f t="shared" si="0"/>
        <v>0</v>
      </c>
      <c r="I44" s="4">
        <f t="shared" si="1"/>
        <v>0</v>
      </c>
      <c r="J44" s="5">
        <f t="shared" si="2"/>
        <v>0</v>
      </c>
      <c r="L44" s="31">
        <v>45880</v>
      </c>
      <c r="M44" s="34" t="s">
        <v>813</v>
      </c>
      <c r="N44" s="37" t="s">
        <v>812</v>
      </c>
      <c r="O44" s="13" t="s">
        <v>14</v>
      </c>
      <c r="P44" s="2">
        <v>5</v>
      </c>
      <c r="Q44" s="3">
        <v>4090.4</v>
      </c>
      <c r="R44" s="16">
        <f t="shared" si="10"/>
        <v>20452</v>
      </c>
      <c r="S44" s="38">
        <f>R44+R45</f>
        <v>29881</v>
      </c>
      <c r="T44" s="38">
        <f t="shared" si="3"/>
        <v>1494</v>
      </c>
      <c r="U44" s="41">
        <f t="shared" si="4"/>
        <v>31375</v>
      </c>
      <c r="W44" s="25"/>
      <c r="X44" s="2" t="s">
        <v>767</v>
      </c>
      <c r="Y44" s="2"/>
      <c r="Z44" s="2"/>
      <c r="AA44" s="2"/>
      <c r="AB44" s="3"/>
      <c r="AC44" s="3">
        <f t="shared" si="9"/>
        <v>0</v>
      </c>
      <c r="AD44" s="4">
        <f t="shared" si="5"/>
        <v>0</v>
      </c>
      <c r="AE44" s="4">
        <f t="shared" si="6"/>
        <v>0</v>
      </c>
      <c r="AF44" s="5">
        <f t="shared" si="7"/>
        <v>0</v>
      </c>
    </row>
    <row r="45" spans="1:32" x14ac:dyDescent="0.25">
      <c r="A45" s="1"/>
      <c r="B45" s="2" t="s">
        <v>681</v>
      </c>
      <c r="C45" s="2"/>
      <c r="D45" s="2"/>
      <c r="E45" s="2"/>
      <c r="F45" s="3"/>
      <c r="G45" s="3">
        <f t="shared" si="8"/>
        <v>0</v>
      </c>
      <c r="H45" s="4">
        <f t="shared" si="0"/>
        <v>0</v>
      </c>
      <c r="I45" s="4">
        <f t="shared" si="1"/>
        <v>0</v>
      </c>
      <c r="J45" s="5">
        <f t="shared" si="2"/>
        <v>0</v>
      </c>
      <c r="L45" s="33"/>
      <c r="M45" s="36"/>
      <c r="N45" s="36"/>
      <c r="O45" s="13" t="s">
        <v>16</v>
      </c>
      <c r="P45" s="2">
        <v>3</v>
      </c>
      <c r="Q45" s="3">
        <v>3143</v>
      </c>
      <c r="R45" s="16">
        <f t="shared" si="10"/>
        <v>9429</v>
      </c>
      <c r="S45" s="40"/>
      <c r="T45" s="40"/>
      <c r="U45" s="43"/>
      <c r="W45" s="25"/>
      <c r="X45" s="2" t="s">
        <v>768</v>
      </c>
      <c r="Y45" s="2"/>
      <c r="Z45" s="2"/>
      <c r="AA45" s="2"/>
      <c r="AB45" s="3"/>
      <c r="AC45" s="3">
        <f t="shared" si="9"/>
        <v>0</v>
      </c>
      <c r="AD45" s="4">
        <f t="shared" si="5"/>
        <v>0</v>
      </c>
      <c r="AE45" s="4">
        <f t="shared" si="6"/>
        <v>0</v>
      </c>
      <c r="AF45" s="5">
        <f t="shared" si="7"/>
        <v>0</v>
      </c>
    </row>
    <row r="46" spans="1:32" x14ac:dyDescent="0.25">
      <c r="A46" s="1"/>
      <c r="B46" s="2" t="s">
        <v>682</v>
      </c>
      <c r="C46" s="2"/>
      <c r="D46" s="2"/>
      <c r="E46" s="2"/>
      <c r="F46" s="3"/>
      <c r="G46" s="3">
        <f t="shared" si="8"/>
        <v>0</v>
      </c>
      <c r="H46" s="4">
        <f t="shared" si="0"/>
        <v>0</v>
      </c>
      <c r="I46" s="4">
        <f t="shared" si="1"/>
        <v>0</v>
      </c>
      <c r="J46" s="5">
        <f t="shared" si="2"/>
        <v>0</v>
      </c>
      <c r="L46" s="31">
        <v>45880</v>
      </c>
      <c r="M46" s="34" t="s">
        <v>815</v>
      </c>
      <c r="N46" s="37" t="s">
        <v>814</v>
      </c>
      <c r="O46" s="13" t="s">
        <v>14</v>
      </c>
      <c r="P46" s="2">
        <v>1</v>
      </c>
      <c r="Q46" s="3">
        <v>6214</v>
      </c>
      <c r="R46" s="16">
        <f t="shared" si="10"/>
        <v>6214</v>
      </c>
      <c r="S46" s="38">
        <f>R46+R47</f>
        <v>8214</v>
      </c>
      <c r="T46" s="38">
        <f t="shared" ref="T46" si="14">ROUND(S46*0.05,0)</f>
        <v>411</v>
      </c>
      <c r="U46" s="41">
        <f t="shared" ref="U46" si="15">S46+T46</f>
        <v>8625</v>
      </c>
      <c r="W46" s="25"/>
      <c r="X46" s="2" t="s">
        <v>769</v>
      </c>
      <c r="Y46" s="2"/>
      <c r="Z46" s="2"/>
      <c r="AA46" s="2"/>
      <c r="AB46" s="3"/>
      <c r="AC46" s="3">
        <f t="shared" si="9"/>
        <v>0</v>
      </c>
      <c r="AD46" s="4">
        <f t="shared" si="5"/>
        <v>0</v>
      </c>
      <c r="AE46" s="4">
        <f t="shared" si="6"/>
        <v>0</v>
      </c>
      <c r="AF46" s="5">
        <f t="shared" si="7"/>
        <v>0</v>
      </c>
    </row>
    <row r="47" spans="1:32" x14ac:dyDescent="0.25">
      <c r="A47" s="1"/>
      <c r="B47" s="2" t="s">
        <v>683</v>
      </c>
      <c r="C47" s="2"/>
      <c r="D47" s="2"/>
      <c r="E47" s="2"/>
      <c r="F47" s="3"/>
      <c r="G47" s="3">
        <f t="shared" si="8"/>
        <v>0</v>
      </c>
      <c r="H47" s="4">
        <f t="shared" si="0"/>
        <v>0</v>
      </c>
      <c r="I47" s="4">
        <f t="shared" si="1"/>
        <v>0</v>
      </c>
      <c r="J47" s="5">
        <f t="shared" si="2"/>
        <v>0</v>
      </c>
      <c r="L47" s="33"/>
      <c r="M47" s="36"/>
      <c r="N47" s="36"/>
      <c r="O47" s="13" t="s">
        <v>16</v>
      </c>
      <c r="P47" s="2">
        <v>1</v>
      </c>
      <c r="Q47" s="3">
        <v>2000</v>
      </c>
      <c r="R47" s="16">
        <f t="shared" si="10"/>
        <v>2000</v>
      </c>
      <c r="S47" s="40"/>
      <c r="T47" s="40"/>
      <c r="U47" s="43"/>
      <c r="W47" s="25"/>
      <c r="X47" s="2" t="s">
        <v>770</v>
      </c>
      <c r="Y47" s="2"/>
      <c r="Z47" s="2"/>
      <c r="AA47" s="2"/>
      <c r="AB47" s="3"/>
      <c r="AC47" s="3">
        <f t="shared" si="9"/>
        <v>0</v>
      </c>
      <c r="AD47" s="4">
        <f t="shared" si="5"/>
        <v>0</v>
      </c>
      <c r="AE47" s="4">
        <f t="shared" si="6"/>
        <v>0</v>
      </c>
      <c r="AF47" s="5">
        <f t="shared" si="7"/>
        <v>0</v>
      </c>
    </row>
    <row r="48" spans="1:32" x14ac:dyDescent="0.25">
      <c r="A48" s="1"/>
      <c r="B48" s="2" t="s">
        <v>684</v>
      </c>
      <c r="C48" s="2"/>
      <c r="D48" s="2"/>
      <c r="E48" s="2"/>
      <c r="F48" s="3"/>
      <c r="G48" s="3">
        <f t="shared" si="8"/>
        <v>0</v>
      </c>
      <c r="H48" s="4">
        <f t="shared" si="0"/>
        <v>0</v>
      </c>
      <c r="I48" s="4">
        <f t="shared" si="1"/>
        <v>0</v>
      </c>
      <c r="J48" s="5">
        <f t="shared" si="2"/>
        <v>0</v>
      </c>
      <c r="L48" s="1"/>
      <c r="M48" s="2" t="s">
        <v>776</v>
      </c>
      <c r="N48" s="2"/>
      <c r="O48" s="2"/>
      <c r="P48" s="2"/>
      <c r="Q48" s="3"/>
      <c r="R48" s="3">
        <f t="shared" si="10"/>
        <v>0</v>
      </c>
      <c r="S48" s="4">
        <f t="shared" si="11"/>
        <v>0</v>
      </c>
      <c r="T48" s="4">
        <f t="shared" si="3"/>
        <v>0</v>
      </c>
      <c r="U48" s="5">
        <f t="shared" si="4"/>
        <v>0</v>
      </c>
      <c r="W48" s="25"/>
      <c r="X48" s="2" t="s">
        <v>771</v>
      </c>
      <c r="Y48" s="2"/>
      <c r="Z48" s="2"/>
      <c r="AA48" s="2"/>
      <c r="AB48" s="3"/>
      <c r="AC48" s="3">
        <f t="shared" si="9"/>
        <v>0</v>
      </c>
      <c r="AD48" s="4">
        <f t="shared" si="5"/>
        <v>0</v>
      </c>
      <c r="AE48" s="4">
        <f t="shared" si="6"/>
        <v>0</v>
      </c>
      <c r="AF48" s="5">
        <f t="shared" si="7"/>
        <v>0</v>
      </c>
    </row>
    <row r="49" spans="1:32" x14ac:dyDescent="0.25">
      <c r="A49" s="1"/>
      <c r="B49" s="2" t="s">
        <v>685</v>
      </c>
      <c r="C49" s="2"/>
      <c r="D49" s="2"/>
      <c r="E49" s="2"/>
      <c r="F49" s="3"/>
      <c r="G49" s="3">
        <f t="shared" si="8"/>
        <v>0</v>
      </c>
      <c r="H49" s="4">
        <f t="shared" si="0"/>
        <v>0</v>
      </c>
      <c r="I49" s="4">
        <f t="shared" si="1"/>
        <v>0</v>
      </c>
      <c r="J49" s="5">
        <f t="shared" si="2"/>
        <v>0</v>
      </c>
      <c r="L49" s="1"/>
      <c r="M49" s="2" t="s">
        <v>777</v>
      </c>
      <c r="N49" s="2"/>
      <c r="O49" s="2"/>
      <c r="P49" s="2"/>
      <c r="Q49" s="3"/>
      <c r="R49" s="3">
        <f t="shared" si="10"/>
        <v>0</v>
      </c>
      <c r="S49" s="4">
        <f t="shared" si="11"/>
        <v>0</v>
      </c>
      <c r="T49" s="4">
        <f t="shared" si="3"/>
        <v>0</v>
      </c>
      <c r="U49" s="5">
        <f t="shared" si="4"/>
        <v>0</v>
      </c>
      <c r="W49" s="25"/>
      <c r="X49" s="2" t="s">
        <v>772</v>
      </c>
      <c r="Y49" s="2"/>
      <c r="Z49" s="2"/>
      <c r="AA49" s="2"/>
      <c r="AB49" s="3"/>
      <c r="AC49" s="3">
        <f t="shared" si="9"/>
        <v>0</v>
      </c>
      <c r="AD49" s="4">
        <f t="shared" si="5"/>
        <v>0</v>
      </c>
      <c r="AE49" s="4">
        <f t="shared" si="6"/>
        <v>0</v>
      </c>
      <c r="AF49" s="5">
        <f t="shared" si="7"/>
        <v>0</v>
      </c>
    </row>
    <row r="50" spans="1:32" x14ac:dyDescent="0.25">
      <c r="A50" s="1"/>
      <c r="B50" s="2" t="s">
        <v>686</v>
      </c>
      <c r="C50" s="2"/>
      <c r="D50" s="2"/>
      <c r="E50" s="2"/>
      <c r="F50" s="3"/>
      <c r="G50" s="3">
        <f t="shared" si="8"/>
        <v>0</v>
      </c>
      <c r="H50" s="4">
        <f t="shared" si="0"/>
        <v>0</v>
      </c>
      <c r="I50" s="4">
        <f t="shared" si="1"/>
        <v>0</v>
      </c>
      <c r="J50" s="5">
        <f t="shared" si="2"/>
        <v>0</v>
      </c>
      <c r="L50" s="15" t="s">
        <v>816</v>
      </c>
      <c r="M50" s="2" t="s">
        <v>778</v>
      </c>
      <c r="N50" s="13"/>
      <c r="O50" s="2"/>
      <c r="P50" s="2"/>
      <c r="Q50" s="3"/>
      <c r="R50" s="3">
        <f t="shared" si="10"/>
        <v>0</v>
      </c>
      <c r="S50" s="4">
        <f t="shared" si="11"/>
        <v>0</v>
      </c>
      <c r="T50" s="4">
        <f t="shared" si="3"/>
        <v>0</v>
      </c>
      <c r="U50" s="5">
        <f t="shared" si="4"/>
        <v>0</v>
      </c>
      <c r="W50" s="25"/>
      <c r="X50" s="2" t="s">
        <v>773</v>
      </c>
      <c r="Y50" s="2"/>
      <c r="Z50" s="2"/>
      <c r="AA50" s="2"/>
      <c r="AB50" s="3"/>
      <c r="AC50" s="3">
        <f t="shared" si="9"/>
        <v>0</v>
      </c>
      <c r="AD50" s="4">
        <f t="shared" si="5"/>
        <v>0</v>
      </c>
      <c r="AE50" s="4">
        <f t="shared" si="6"/>
        <v>0</v>
      </c>
      <c r="AF50" s="5">
        <f t="shared" si="7"/>
        <v>0</v>
      </c>
    </row>
    <row r="51" spans="1:32" x14ac:dyDescent="0.25">
      <c r="A51" s="1"/>
      <c r="B51" s="2" t="s">
        <v>687</v>
      </c>
      <c r="C51" s="2"/>
      <c r="D51" s="2"/>
      <c r="E51" s="2"/>
      <c r="F51" s="3"/>
      <c r="G51" s="3">
        <f t="shared" ref="G51:G52" si="16">E51*F51</f>
        <v>0</v>
      </c>
      <c r="H51" s="4">
        <f t="shared" ref="H51:H52" si="17">G51</f>
        <v>0</v>
      </c>
      <c r="I51" s="4">
        <f t="shared" ref="I51:I52" si="18">ROUND(H51*0.05,0)</f>
        <v>0</v>
      </c>
      <c r="J51" s="5">
        <f t="shared" ref="J51:J52" si="19">H51+I51</f>
        <v>0</v>
      </c>
      <c r="L51" s="31">
        <v>45884</v>
      </c>
      <c r="M51" s="34" t="s">
        <v>818</v>
      </c>
      <c r="N51" s="37" t="s">
        <v>817</v>
      </c>
      <c r="O51" s="13" t="s">
        <v>14</v>
      </c>
      <c r="P51" s="2">
        <v>1</v>
      </c>
      <c r="Q51" s="3">
        <v>5400</v>
      </c>
      <c r="R51" s="16">
        <f t="shared" si="10"/>
        <v>5400</v>
      </c>
      <c r="S51" s="38">
        <f>R51+R52</f>
        <v>7800</v>
      </c>
      <c r="T51" s="38">
        <f t="shared" si="3"/>
        <v>390</v>
      </c>
      <c r="U51" s="41">
        <f t="shared" si="4"/>
        <v>8190</v>
      </c>
      <c r="W51" s="25"/>
      <c r="X51" s="2" t="s">
        <v>774</v>
      </c>
      <c r="Y51" s="2"/>
      <c r="Z51" s="2"/>
      <c r="AA51" s="2"/>
      <c r="AB51" s="3"/>
      <c r="AC51" s="3">
        <f t="shared" si="9"/>
        <v>0</v>
      </c>
      <c r="AD51" s="4">
        <f t="shared" si="5"/>
        <v>0</v>
      </c>
      <c r="AE51" s="4">
        <f t="shared" si="6"/>
        <v>0</v>
      </c>
      <c r="AF51" s="5">
        <f t="shared" si="7"/>
        <v>0</v>
      </c>
    </row>
    <row r="52" spans="1:32" ht="16.5" thickBot="1" x14ac:dyDescent="0.3">
      <c r="A52" s="1"/>
      <c r="B52" s="2" t="s">
        <v>688</v>
      </c>
      <c r="C52" s="2"/>
      <c r="D52" s="2"/>
      <c r="E52" s="2"/>
      <c r="F52" s="3"/>
      <c r="G52" s="3">
        <f t="shared" si="16"/>
        <v>0</v>
      </c>
      <c r="H52" s="4">
        <f t="shared" si="17"/>
        <v>0</v>
      </c>
      <c r="I52" s="4">
        <f t="shared" si="18"/>
        <v>0</v>
      </c>
      <c r="J52" s="5">
        <f t="shared" si="19"/>
        <v>0</v>
      </c>
      <c r="L52" s="33"/>
      <c r="M52" s="36"/>
      <c r="N52" s="36"/>
      <c r="O52" s="13" t="s">
        <v>16</v>
      </c>
      <c r="P52" s="2">
        <v>1</v>
      </c>
      <c r="Q52" s="3">
        <v>2400</v>
      </c>
      <c r="R52" s="16">
        <f t="shared" si="10"/>
        <v>2400</v>
      </c>
      <c r="S52" s="40"/>
      <c r="T52" s="40"/>
      <c r="U52" s="43"/>
      <c r="W52" s="26"/>
      <c r="X52" s="2" t="s">
        <v>775</v>
      </c>
      <c r="Y52" s="8"/>
      <c r="Z52" s="8"/>
      <c r="AA52" s="8"/>
      <c r="AB52" s="9"/>
      <c r="AC52" s="9">
        <f t="shared" si="9"/>
        <v>0</v>
      </c>
      <c r="AD52" s="10">
        <f t="shared" si="5"/>
        <v>0</v>
      </c>
      <c r="AE52" s="10">
        <f t="shared" si="6"/>
        <v>0</v>
      </c>
      <c r="AF52" s="11">
        <f t="shared" si="7"/>
        <v>0</v>
      </c>
    </row>
    <row r="53" spans="1:32" x14ac:dyDescent="0.25">
      <c r="A53" s="1"/>
      <c r="B53" s="2" t="s">
        <v>689</v>
      </c>
      <c r="C53" s="2"/>
      <c r="D53" s="2"/>
      <c r="E53" s="2"/>
      <c r="F53" s="3"/>
      <c r="G53" s="3">
        <f t="shared" si="8"/>
        <v>0</v>
      </c>
      <c r="H53" s="4">
        <f t="shared" si="0"/>
        <v>0</v>
      </c>
      <c r="I53" s="4">
        <f t="shared" si="1"/>
        <v>0</v>
      </c>
      <c r="J53" s="5">
        <f t="shared" si="2"/>
        <v>0</v>
      </c>
      <c r="L53" s="15" t="s">
        <v>816</v>
      </c>
      <c r="M53" s="2" t="s">
        <v>779</v>
      </c>
      <c r="N53" s="13"/>
      <c r="O53" s="2"/>
      <c r="P53" s="2"/>
      <c r="Q53" s="3"/>
      <c r="R53" s="3">
        <f t="shared" si="10"/>
        <v>0</v>
      </c>
      <c r="S53" s="4">
        <f t="shared" si="11"/>
        <v>0</v>
      </c>
      <c r="T53" s="4">
        <f t="shared" si="3"/>
        <v>0</v>
      </c>
      <c r="U53" s="5">
        <f t="shared" si="4"/>
        <v>0</v>
      </c>
      <c r="AE53" s="14">
        <f>SUM(AE3:AE52)</f>
        <v>62326</v>
      </c>
    </row>
    <row r="54" spans="1:32" x14ac:dyDescent="0.25">
      <c r="A54" s="1"/>
      <c r="B54" s="2" t="s">
        <v>792</v>
      </c>
      <c r="C54" s="2"/>
      <c r="D54" s="2"/>
      <c r="E54" s="2"/>
      <c r="F54" s="3"/>
      <c r="G54" s="3">
        <f t="shared" si="8"/>
        <v>0</v>
      </c>
      <c r="H54" s="4">
        <f t="shared" si="0"/>
        <v>0</v>
      </c>
      <c r="I54" s="4">
        <f t="shared" si="1"/>
        <v>0</v>
      </c>
      <c r="J54" s="5">
        <f t="shared" si="2"/>
        <v>0</v>
      </c>
      <c r="L54" s="6">
        <v>45884</v>
      </c>
      <c r="M54" s="2" t="s">
        <v>780</v>
      </c>
      <c r="N54" s="13" t="s">
        <v>819</v>
      </c>
      <c r="O54" s="13" t="s">
        <v>15</v>
      </c>
      <c r="P54" s="2">
        <v>1</v>
      </c>
      <c r="Q54" s="3">
        <v>762</v>
      </c>
      <c r="R54" s="3">
        <f t="shared" si="10"/>
        <v>762</v>
      </c>
      <c r="S54" s="4">
        <f t="shared" si="11"/>
        <v>762</v>
      </c>
      <c r="T54" s="4">
        <f t="shared" si="3"/>
        <v>38</v>
      </c>
      <c r="U54" s="5">
        <f t="shared" si="4"/>
        <v>800</v>
      </c>
    </row>
    <row r="55" spans="1:32" x14ac:dyDescent="0.25">
      <c r="A55" s="1"/>
      <c r="B55" s="2" t="s">
        <v>793</v>
      </c>
      <c r="C55" s="2"/>
      <c r="D55" s="2"/>
      <c r="E55" s="2"/>
      <c r="F55" s="3"/>
      <c r="G55" s="3">
        <f t="shared" si="8"/>
        <v>0</v>
      </c>
      <c r="H55" s="4">
        <f t="shared" si="0"/>
        <v>0</v>
      </c>
      <c r="I55" s="4">
        <f t="shared" si="1"/>
        <v>0</v>
      </c>
      <c r="J55" s="5">
        <f t="shared" si="2"/>
        <v>0</v>
      </c>
      <c r="L55" s="6">
        <v>45888</v>
      </c>
      <c r="M55" s="2" t="s">
        <v>781</v>
      </c>
      <c r="N55" s="13" t="s">
        <v>820</v>
      </c>
      <c r="O55" s="13" t="s">
        <v>15</v>
      </c>
      <c r="P55" s="2">
        <v>1</v>
      </c>
      <c r="Q55" s="3">
        <v>800</v>
      </c>
      <c r="R55" s="3">
        <f t="shared" si="10"/>
        <v>800</v>
      </c>
      <c r="S55" s="4">
        <f t="shared" si="11"/>
        <v>800</v>
      </c>
      <c r="T55" s="4">
        <f t="shared" si="3"/>
        <v>40</v>
      </c>
      <c r="U55" s="5">
        <f t="shared" si="4"/>
        <v>840</v>
      </c>
    </row>
    <row r="56" spans="1:32" ht="16.5" thickBot="1" x14ac:dyDescent="0.3">
      <c r="A56" s="7"/>
      <c r="B56" s="2" t="s">
        <v>798</v>
      </c>
      <c r="C56" s="8"/>
      <c r="D56" s="8"/>
      <c r="E56" s="8"/>
      <c r="F56" s="9"/>
      <c r="G56" s="9">
        <f t="shared" si="8"/>
        <v>0</v>
      </c>
      <c r="H56" s="10">
        <f t="shared" si="0"/>
        <v>0</v>
      </c>
      <c r="I56" s="10">
        <f t="shared" si="1"/>
        <v>0</v>
      </c>
      <c r="J56" s="11">
        <f t="shared" si="2"/>
        <v>0</v>
      </c>
      <c r="L56" s="31">
        <v>45890</v>
      </c>
      <c r="M56" s="34" t="s">
        <v>822</v>
      </c>
      <c r="N56" s="37" t="s">
        <v>821</v>
      </c>
      <c r="O56" s="13" t="s">
        <v>14</v>
      </c>
      <c r="P56" s="2">
        <v>1</v>
      </c>
      <c r="Q56" s="3">
        <v>4476</v>
      </c>
      <c r="R56" s="16">
        <f t="shared" si="10"/>
        <v>4476</v>
      </c>
      <c r="S56" s="38">
        <f>R56+R57</f>
        <v>6857</v>
      </c>
      <c r="T56" s="38">
        <f t="shared" si="3"/>
        <v>343</v>
      </c>
      <c r="U56" s="41">
        <f t="shared" si="4"/>
        <v>7200</v>
      </c>
    </row>
    <row r="57" spans="1:32" x14ac:dyDescent="0.25">
      <c r="I57" s="14">
        <f>SUM(I3:I56)+I61+I62+I63+I64+I65+I66</f>
        <v>81150</v>
      </c>
      <c r="L57" s="33"/>
      <c r="M57" s="36"/>
      <c r="N57" s="36"/>
      <c r="O57" s="13" t="s">
        <v>16</v>
      </c>
      <c r="P57" s="2">
        <v>1</v>
      </c>
      <c r="Q57" s="3">
        <v>2381</v>
      </c>
      <c r="R57" s="16">
        <f t="shared" si="10"/>
        <v>2381</v>
      </c>
      <c r="S57" s="40"/>
      <c r="T57" s="40"/>
      <c r="U57" s="43"/>
    </row>
    <row r="58" spans="1:32" ht="16.5" thickBot="1" x14ac:dyDescent="0.3">
      <c r="L58" s="31">
        <v>45890</v>
      </c>
      <c r="M58" s="34" t="s">
        <v>823</v>
      </c>
      <c r="N58" s="37" t="s">
        <v>824</v>
      </c>
      <c r="O58" s="13" t="s">
        <v>14</v>
      </c>
      <c r="P58" s="2">
        <v>1</v>
      </c>
      <c r="Q58" s="3">
        <v>2952</v>
      </c>
      <c r="R58" s="4">
        <f t="shared" si="10"/>
        <v>2952</v>
      </c>
      <c r="S58" s="38">
        <f>R58+R59+R60</f>
        <v>6352</v>
      </c>
      <c r="T58" s="38">
        <f t="shared" ref="T58" si="20">ROUND(S58*0.05,0)</f>
        <v>318</v>
      </c>
      <c r="U58" s="41">
        <f t="shared" ref="U58" si="21">S58+T58</f>
        <v>6670</v>
      </c>
    </row>
    <row r="59" spans="1:32" x14ac:dyDescent="0.25">
      <c r="A59" s="50" t="s">
        <v>20</v>
      </c>
      <c r="B59" s="29"/>
      <c r="C59" s="29"/>
      <c r="D59" s="29"/>
      <c r="E59" s="29"/>
      <c r="F59" s="29"/>
      <c r="G59" s="29"/>
      <c r="H59" s="29"/>
      <c r="I59" s="29"/>
      <c r="J59" s="29"/>
      <c r="L59" s="32"/>
      <c r="M59" s="35"/>
      <c r="N59" s="35"/>
      <c r="O59" s="13" t="s">
        <v>16</v>
      </c>
      <c r="P59" s="2">
        <v>1</v>
      </c>
      <c r="Q59" s="3">
        <v>2800</v>
      </c>
      <c r="R59" s="4">
        <f t="shared" si="10"/>
        <v>2800</v>
      </c>
      <c r="S59" s="39"/>
      <c r="T59" s="39"/>
      <c r="U59" s="42"/>
    </row>
    <row r="60" spans="1:32" x14ac:dyDescent="0.25">
      <c r="A60" s="1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3" t="s">
        <v>6</v>
      </c>
      <c r="G60" s="3" t="s">
        <v>7</v>
      </c>
      <c r="H60" s="4" t="s">
        <v>12</v>
      </c>
      <c r="I60" s="4" t="s">
        <v>9</v>
      </c>
      <c r="J60" s="4" t="s">
        <v>13</v>
      </c>
      <c r="L60" s="33"/>
      <c r="M60" s="36"/>
      <c r="N60" s="36"/>
      <c r="O60" s="13" t="s">
        <v>15</v>
      </c>
      <c r="P60" s="2">
        <v>1</v>
      </c>
      <c r="Q60" s="3">
        <v>600</v>
      </c>
      <c r="R60" s="4">
        <f t="shared" si="10"/>
        <v>600</v>
      </c>
      <c r="S60" s="40"/>
      <c r="T60" s="40"/>
      <c r="U60" s="43"/>
    </row>
    <row r="61" spans="1:32" x14ac:dyDescent="0.25">
      <c r="A61" s="6">
        <v>45839</v>
      </c>
      <c r="B61" s="2" t="s">
        <v>690</v>
      </c>
      <c r="C61" s="2"/>
      <c r="D61" s="13" t="s">
        <v>14</v>
      </c>
      <c r="E61" s="2">
        <v>15</v>
      </c>
      <c r="F61" s="3">
        <v>2366</v>
      </c>
      <c r="G61" s="3">
        <f t="shared" ref="G61:G66" si="22">E61*F61</f>
        <v>35490</v>
      </c>
      <c r="H61" s="4">
        <f t="shared" ref="H61:H66" si="23">G61</f>
        <v>35490</v>
      </c>
      <c r="I61" s="12">
        <f>H61-ROUND(H61/1.05,0)</f>
        <v>1690</v>
      </c>
      <c r="J61" s="4"/>
      <c r="L61" s="1"/>
      <c r="M61" s="2" t="s">
        <v>782</v>
      </c>
      <c r="N61" s="2"/>
      <c r="O61" s="2"/>
      <c r="P61" s="2"/>
      <c r="Q61" s="3"/>
      <c r="R61" s="3">
        <f t="shared" si="10"/>
        <v>0</v>
      </c>
      <c r="S61" s="4">
        <f t="shared" si="11"/>
        <v>0</v>
      </c>
      <c r="T61" s="4">
        <f t="shared" si="3"/>
        <v>0</v>
      </c>
      <c r="U61" s="5">
        <f t="shared" si="4"/>
        <v>0</v>
      </c>
    </row>
    <row r="62" spans="1:32" x14ac:dyDescent="0.25">
      <c r="A62" s="6">
        <v>45873</v>
      </c>
      <c r="B62" s="2" t="s">
        <v>691</v>
      </c>
      <c r="C62" s="2"/>
      <c r="D62" s="13" t="s">
        <v>14</v>
      </c>
      <c r="E62" s="2">
        <v>5</v>
      </c>
      <c r="F62" s="3">
        <v>2366</v>
      </c>
      <c r="G62" s="3">
        <f t="shared" si="22"/>
        <v>11830</v>
      </c>
      <c r="H62" s="4">
        <f t="shared" si="23"/>
        <v>11830</v>
      </c>
      <c r="I62" s="12">
        <f t="shared" ref="I62:I66" si="24">H62-ROUND(H62/1.05,0)</f>
        <v>563</v>
      </c>
      <c r="J62" s="4"/>
      <c r="L62" s="1"/>
      <c r="M62" s="2" t="s">
        <v>783</v>
      </c>
      <c r="N62" s="2"/>
      <c r="O62" s="2"/>
      <c r="P62" s="2"/>
      <c r="Q62" s="3"/>
      <c r="R62" s="3">
        <f t="shared" si="10"/>
        <v>0</v>
      </c>
      <c r="S62" s="4">
        <f t="shared" si="11"/>
        <v>0</v>
      </c>
      <c r="T62" s="4">
        <f t="shared" si="3"/>
        <v>0</v>
      </c>
      <c r="U62" s="5">
        <f t="shared" si="4"/>
        <v>0</v>
      </c>
    </row>
    <row r="63" spans="1:32" x14ac:dyDescent="0.25">
      <c r="A63" s="1"/>
      <c r="B63" s="2" t="s">
        <v>692</v>
      </c>
      <c r="C63" s="2"/>
      <c r="D63" s="2"/>
      <c r="E63" s="2"/>
      <c r="F63" s="3"/>
      <c r="G63" s="3">
        <f t="shared" si="22"/>
        <v>0</v>
      </c>
      <c r="H63" s="4">
        <f t="shared" si="23"/>
        <v>0</v>
      </c>
      <c r="I63" s="12">
        <f t="shared" si="24"/>
        <v>0</v>
      </c>
      <c r="J63" s="4"/>
      <c r="L63" s="1"/>
      <c r="M63" s="2" t="s">
        <v>784</v>
      </c>
      <c r="N63" s="2"/>
      <c r="O63" s="2"/>
      <c r="P63" s="2"/>
      <c r="Q63" s="3"/>
      <c r="R63" s="3">
        <f t="shared" si="10"/>
        <v>0</v>
      </c>
      <c r="S63" s="4">
        <f t="shared" si="11"/>
        <v>0</v>
      </c>
      <c r="T63" s="4">
        <f t="shared" si="3"/>
        <v>0</v>
      </c>
      <c r="U63" s="5">
        <f t="shared" si="4"/>
        <v>0</v>
      </c>
    </row>
    <row r="64" spans="1:32" x14ac:dyDescent="0.25">
      <c r="A64" s="1"/>
      <c r="B64" s="2" t="s">
        <v>693</v>
      </c>
      <c r="C64" s="2"/>
      <c r="D64" s="2"/>
      <c r="E64" s="2"/>
      <c r="F64" s="3"/>
      <c r="G64" s="3">
        <f t="shared" si="22"/>
        <v>0</v>
      </c>
      <c r="H64" s="4">
        <f t="shared" si="23"/>
        <v>0</v>
      </c>
      <c r="I64" s="12">
        <f t="shared" si="24"/>
        <v>0</v>
      </c>
      <c r="J64" s="4"/>
      <c r="L64" s="1"/>
      <c r="M64" s="2" t="s">
        <v>785</v>
      </c>
      <c r="N64" s="2"/>
      <c r="O64" s="2"/>
      <c r="P64" s="2"/>
      <c r="Q64" s="3"/>
      <c r="R64" s="3">
        <f t="shared" si="10"/>
        <v>0</v>
      </c>
      <c r="S64" s="4">
        <f t="shared" si="11"/>
        <v>0</v>
      </c>
      <c r="T64" s="4">
        <f t="shared" si="3"/>
        <v>0</v>
      </c>
      <c r="U64" s="5">
        <f t="shared" si="4"/>
        <v>0</v>
      </c>
    </row>
    <row r="65" spans="1:21" x14ac:dyDescent="0.25">
      <c r="A65" s="1"/>
      <c r="B65" s="2" t="s">
        <v>694</v>
      </c>
      <c r="C65" s="2"/>
      <c r="D65" s="2"/>
      <c r="E65" s="2"/>
      <c r="F65" s="3"/>
      <c r="G65" s="3">
        <f t="shared" si="22"/>
        <v>0</v>
      </c>
      <c r="H65" s="4">
        <f t="shared" si="23"/>
        <v>0</v>
      </c>
      <c r="I65" s="12">
        <f t="shared" si="24"/>
        <v>0</v>
      </c>
      <c r="J65" s="4"/>
      <c r="L65" s="1"/>
      <c r="M65" s="2" t="s">
        <v>786</v>
      </c>
      <c r="N65" s="2"/>
      <c r="O65" s="2"/>
      <c r="P65" s="2"/>
      <c r="Q65" s="3"/>
      <c r="R65" s="3">
        <f t="shared" si="10"/>
        <v>0</v>
      </c>
      <c r="S65" s="4">
        <f t="shared" si="11"/>
        <v>0</v>
      </c>
      <c r="T65" s="4">
        <f t="shared" si="3"/>
        <v>0</v>
      </c>
      <c r="U65" s="5">
        <f t="shared" si="4"/>
        <v>0</v>
      </c>
    </row>
    <row r="66" spans="1:21" x14ac:dyDescent="0.25">
      <c r="A66" s="1"/>
      <c r="B66" s="2" t="s">
        <v>695</v>
      </c>
      <c r="C66" s="2"/>
      <c r="D66" s="2"/>
      <c r="E66" s="2"/>
      <c r="F66" s="3"/>
      <c r="G66" s="3">
        <f t="shared" si="22"/>
        <v>0</v>
      </c>
      <c r="H66" s="4">
        <f t="shared" si="23"/>
        <v>0</v>
      </c>
      <c r="I66" s="12">
        <f t="shared" si="24"/>
        <v>0</v>
      </c>
      <c r="J66" s="4"/>
      <c r="L66" s="1"/>
      <c r="M66" s="2" t="s">
        <v>787</v>
      </c>
      <c r="N66" s="2"/>
      <c r="O66" s="2"/>
      <c r="P66" s="2"/>
      <c r="Q66" s="3"/>
      <c r="R66" s="3">
        <f t="shared" si="10"/>
        <v>0</v>
      </c>
      <c r="S66" s="4">
        <f t="shared" si="11"/>
        <v>0</v>
      </c>
      <c r="T66" s="4">
        <f t="shared" si="3"/>
        <v>0</v>
      </c>
      <c r="U66" s="5">
        <f t="shared" si="4"/>
        <v>0</v>
      </c>
    </row>
    <row r="67" spans="1:21" x14ac:dyDescent="0.25">
      <c r="L67" s="1"/>
      <c r="M67" s="2" t="s">
        <v>788</v>
      </c>
      <c r="N67" s="2"/>
      <c r="O67" s="2"/>
      <c r="P67" s="2"/>
      <c r="Q67" s="3"/>
      <c r="R67" s="3">
        <f t="shared" si="10"/>
        <v>0</v>
      </c>
      <c r="S67" s="4">
        <f t="shared" si="11"/>
        <v>0</v>
      </c>
      <c r="T67" s="4">
        <f t="shared" si="3"/>
        <v>0</v>
      </c>
      <c r="U67" s="5">
        <f t="shared" si="4"/>
        <v>0</v>
      </c>
    </row>
    <row r="68" spans="1:21" x14ac:dyDescent="0.25">
      <c r="T68" s="14">
        <f>SUM(T3:T67)</f>
        <v>86252</v>
      </c>
    </row>
  </sheetData>
  <mergeCells count="100">
    <mergeCell ref="U56:U57"/>
    <mergeCell ref="L58:L60"/>
    <mergeCell ref="M58:M60"/>
    <mergeCell ref="N58:N60"/>
    <mergeCell ref="S58:S60"/>
    <mergeCell ref="T58:T60"/>
    <mergeCell ref="U58:U60"/>
    <mergeCell ref="L56:L57"/>
    <mergeCell ref="M56:M57"/>
    <mergeCell ref="N56:N57"/>
    <mergeCell ref="S56:S57"/>
    <mergeCell ref="T56:T57"/>
    <mergeCell ref="U51:U52"/>
    <mergeCell ref="L51:L52"/>
    <mergeCell ref="M51:M52"/>
    <mergeCell ref="N51:N52"/>
    <mergeCell ref="S51:S52"/>
    <mergeCell ref="T51:T52"/>
    <mergeCell ref="U46:U47"/>
    <mergeCell ref="L46:L47"/>
    <mergeCell ref="M46:M47"/>
    <mergeCell ref="N46:N47"/>
    <mergeCell ref="S46:S47"/>
    <mergeCell ref="T46:T47"/>
    <mergeCell ref="U40:U41"/>
    <mergeCell ref="L44:L45"/>
    <mergeCell ref="M44:M45"/>
    <mergeCell ref="N44:N45"/>
    <mergeCell ref="S44:S45"/>
    <mergeCell ref="T44:T45"/>
    <mergeCell ref="U44:U45"/>
    <mergeCell ref="L40:L41"/>
    <mergeCell ref="M40:M41"/>
    <mergeCell ref="N40:N41"/>
    <mergeCell ref="S40:S41"/>
    <mergeCell ref="T40:T41"/>
    <mergeCell ref="U37:U38"/>
    <mergeCell ref="L37:L38"/>
    <mergeCell ref="M37:M38"/>
    <mergeCell ref="N37:N38"/>
    <mergeCell ref="S37:S38"/>
    <mergeCell ref="T37:T38"/>
    <mergeCell ref="U31:U32"/>
    <mergeCell ref="L35:L36"/>
    <mergeCell ref="M35:M36"/>
    <mergeCell ref="N35:N36"/>
    <mergeCell ref="S35:S36"/>
    <mergeCell ref="T35:T36"/>
    <mergeCell ref="U35:U36"/>
    <mergeCell ref="L31:L32"/>
    <mergeCell ref="M31:M32"/>
    <mergeCell ref="N31:N32"/>
    <mergeCell ref="S31:S32"/>
    <mergeCell ref="T31:T32"/>
    <mergeCell ref="C7:C8"/>
    <mergeCell ref="B7:B8"/>
    <mergeCell ref="A7:A8"/>
    <mergeCell ref="H7:H8"/>
    <mergeCell ref="I7:I8"/>
    <mergeCell ref="J7:J8"/>
    <mergeCell ref="A1:J1"/>
    <mergeCell ref="A59:J59"/>
    <mergeCell ref="L1:U1"/>
    <mergeCell ref="W1:AF1"/>
    <mergeCell ref="A5:A6"/>
    <mergeCell ref="B5:B6"/>
    <mergeCell ref="C5:C6"/>
    <mergeCell ref="H5:H6"/>
    <mergeCell ref="I5:I6"/>
    <mergeCell ref="J5:J6"/>
    <mergeCell ref="M3:M5"/>
    <mergeCell ref="L3:L5"/>
    <mergeCell ref="N3:N5"/>
    <mergeCell ref="S3:S5"/>
    <mergeCell ref="T3:T5"/>
    <mergeCell ref="U3:U5"/>
    <mergeCell ref="L11:L12"/>
    <mergeCell ref="M11:M12"/>
    <mergeCell ref="N11:N12"/>
    <mergeCell ref="S11:S12"/>
    <mergeCell ref="T11:T12"/>
    <mergeCell ref="U11:U12"/>
    <mergeCell ref="U18:U19"/>
    <mergeCell ref="L22:L23"/>
    <mergeCell ref="M22:M23"/>
    <mergeCell ref="N22:N23"/>
    <mergeCell ref="S22:S23"/>
    <mergeCell ref="T22:T23"/>
    <mergeCell ref="U22:U23"/>
    <mergeCell ref="L18:L19"/>
    <mergeCell ref="M18:M19"/>
    <mergeCell ref="N18:N19"/>
    <mergeCell ref="S18:S19"/>
    <mergeCell ref="T18:T19"/>
    <mergeCell ref="J13:J14"/>
    <mergeCell ref="A13:A14"/>
    <mergeCell ref="B13:B14"/>
    <mergeCell ref="C13:C14"/>
    <mergeCell ref="H13:H14"/>
    <mergeCell ref="I13:I14"/>
  </mergeCells>
  <phoneticPr fontId="4" type="noConversion"/>
  <pageMargins left="0" right="0" top="0" bottom="0" header="0" footer="0"/>
  <pageSetup paperSize="9" scale="76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3A0D-53B2-4E0A-9E5B-C8BC00D755E3}">
  <sheetPr>
    <pageSetUpPr fitToPage="1"/>
  </sheetPr>
  <dimension ref="A1:AF68"/>
  <sheetViews>
    <sheetView topLeftCell="C1" workbookViewId="0">
      <selection activeCell="S8" sqref="S8"/>
    </sheetView>
  </sheetViews>
  <sheetFormatPr defaultRowHeight="15.75" x14ac:dyDescent="0.25"/>
  <cols>
    <col min="2" max="2" width="12.375" bestFit="1" customWidth="1"/>
    <col min="6" max="6" width="9.625" bestFit="1" customWidth="1"/>
    <col min="7" max="7" width="13.375" bestFit="1" customWidth="1"/>
    <col min="8" max="8" width="10.75" bestFit="1" customWidth="1"/>
    <col min="9" max="9" width="9.125" bestFit="1" customWidth="1"/>
    <col min="10" max="10" width="10.75" bestFit="1" customWidth="1"/>
    <col min="13" max="13" width="12.25" bestFit="1" customWidth="1"/>
    <col min="17" max="18" width="11.75" bestFit="1" customWidth="1"/>
    <col min="19" max="19" width="10.75" bestFit="1" customWidth="1"/>
    <col min="20" max="20" width="9.125" bestFit="1" customWidth="1"/>
    <col min="21" max="21" width="10.75" bestFit="1" customWidth="1"/>
    <col min="24" max="24" width="12.25" bestFit="1" customWidth="1"/>
    <col min="28" max="29" width="11.75" bestFit="1" customWidth="1"/>
    <col min="30" max="30" width="9.125" bestFit="1" customWidth="1"/>
    <col min="32" max="32" width="9.125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31">
        <v>45779</v>
      </c>
      <c r="B3" s="34" t="s">
        <v>531</v>
      </c>
      <c r="C3" s="37" t="s">
        <v>532</v>
      </c>
      <c r="D3" s="13" t="s">
        <v>14</v>
      </c>
      <c r="E3" s="2">
        <v>270</v>
      </c>
      <c r="F3" s="3">
        <f>G3/E3</f>
        <v>3713.5740740740739</v>
      </c>
      <c r="G3" s="16">
        <v>1002665</v>
      </c>
      <c r="H3" s="38">
        <f>G3+G4</f>
        <v>1006585</v>
      </c>
      <c r="I3" s="38">
        <f t="shared" ref="I3" si="0">ROUND(H3*0.05,0)</f>
        <v>50329</v>
      </c>
      <c r="J3" s="41">
        <f t="shared" ref="J3" si="1">H3+I3</f>
        <v>1056914</v>
      </c>
      <c r="L3" s="6">
        <v>45779</v>
      </c>
      <c r="M3" s="2" t="s">
        <v>537</v>
      </c>
      <c r="N3" s="13" t="s">
        <v>576</v>
      </c>
      <c r="O3" s="13" t="s">
        <v>577</v>
      </c>
      <c r="P3" s="2"/>
      <c r="Q3" s="3"/>
      <c r="R3" s="3">
        <v>337500</v>
      </c>
      <c r="S3" s="4">
        <f t="shared" ref="S3:S63" si="2">R3</f>
        <v>337500</v>
      </c>
      <c r="T3" s="4">
        <f t="shared" ref="T3:T63" si="3">ROUND(S3*0.05,0)</f>
        <v>16875</v>
      </c>
      <c r="U3" s="5">
        <f t="shared" ref="U3:U63" si="4">S3+T3</f>
        <v>354375</v>
      </c>
      <c r="W3" s="6">
        <v>45779</v>
      </c>
      <c r="X3" s="2" t="s">
        <v>421</v>
      </c>
      <c r="Y3" s="13" t="s">
        <v>71</v>
      </c>
      <c r="Z3" s="13" t="s">
        <v>14</v>
      </c>
      <c r="AA3" s="2">
        <v>6</v>
      </c>
      <c r="AB3" s="3">
        <v>1950</v>
      </c>
      <c r="AC3" s="3">
        <f>AA3*AB3</f>
        <v>11700</v>
      </c>
      <c r="AD3" s="4">
        <f>AC3</f>
        <v>11700</v>
      </c>
      <c r="AE3" s="4">
        <f>ROUND(AD3*0.05,0)</f>
        <v>585</v>
      </c>
      <c r="AF3" s="5">
        <f>AD3+AE3</f>
        <v>12285</v>
      </c>
    </row>
    <row r="4" spans="1:32" x14ac:dyDescent="0.25">
      <c r="A4" s="33"/>
      <c r="B4" s="36"/>
      <c r="C4" s="36"/>
      <c r="D4" s="13" t="s">
        <v>16</v>
      </c>
      <c r="E4" s="2">
        <v>4</v>
      </c>
      <c r="F4" s="3">
        <v>980</v>
      </c>
      <c r="G4" s="16">
        <f t="shared" ref="G4" si="5">E4*F4</f>
        <v>3920</v>
      </c>
      <c r="H4" s="40"/>
      <c r="I4" s="40"/>
      <c r="J4" s="43"/>
      <c r="L4" s="6">
        <v>45779</v>
      </c>
      <c r="M4" s="2" t="s">
        <v>538</v>
      </c>
      <c r="N4" s="13" t="s">
        <v>578</v>
      </c>
      <c r="O4" s="13" t="s">
        <v>577</v>
      </c>
      <c r="P4" s="2"/>
      <c r="Q4" s="3"/>
      <c r="R4" s="3">
        <v>61920</v>
      </c>
      <c r="S4" s="4">
        <f t="shared" si="2"/>
        <v>61920</v>
      </c>
      <c r="T4" s="4">
        <f t="shared" si="3"/>
        <v>3096</v>
      </c>
      <c r="U4" s="5">
        <f t="shared" si="4"/>
        <v>65016</v>
      </c>
      <c r="W4" s="6">
        <v>45779</v>
      </c>
      <c r="X4" s="2" t="s">
        <v>422</v>
      </c>
      <c r="Y4" s="13" t="s">
        <v>73</v>
      </c>
      <c r="Z4" s="13" t="s">
        <v>14</v>
      </c>
      <c r="AA4" s="2">
        <v>96</v>
      </c>
      <c r="AB4" s="3">
        <v>1943.75</v>
      </c>
      <c r="AC4" s="3">
        <f>AB4*AA4</f>
        <v>186600</v>
      </c>
      <c r="AD4" s="4">
        <f>AC4</f>
        <v>186600</v>
      </c>
      <c r="AE4" s="4">
        <f>ROUND(AD4*0.05,0)</f>
        <v>9330</v>
      </c>
      <c r="AF4" s="5">
        <f>AD4+AE4</f>
        <v>195930</v>
      </c>
    </row>
    <row r="5" spans="1:32" x14ac:dyDescent="0.25">
      <c r="A5" s="6">
        <v>45779</v>
      </c>
      <c r="B5" s="2" t="s">
        <v>482</v>
      </c>
      <c r="C5" s="13" t="s">
        <v>533</v>
      </c>
      <c r="D5" s="13" t="s">
        <v>14</v>
      </c>
      <c r="E5" s="2">
        <v>108</v>
      </c>
      <c r="F5" s="3">
        <v>2616.67</v>
      </c>
      <c r="G5" s="3">
        <f t="shared" ref="G5:G53" si="6">E5*F5</f>
        <v>282600.36</v>
      </c>
      <c r="H5" s="4">
        <f t="shared" ref="H5:H53" si="7">G5</f>
        <v>282600.36</v>
      </c>
      <c r="I5" s="4">
        <f t="shared" ref="I5:I53" si="8">ROUND(H5*0.05,0)</f>
        <v>14130</v>
      </c>
      <c r="J5" s="5">
        <f t="shared" ref="J5:J53" si="9">H5+I5</f>
        <v>296730.36</v>
      </c>
      <c r="L5" s="31">
        <v>45779</v>
      </c>
      <c r="M5" s="34" t="s">
        <v>579</v>
      </c>
      <c r="N5" s="37" t="s">
        <v>578</v>
      </c>
      <c r="O5" s="13" t="s">
        <v>14</v>
      </c>
      <c r="P5" s="2">
        <v>6</v>
      </c>
      <c r="Q5" s="3">
        <v>2750</v>
      </c>
      <c r="R5" s="16">
        <f t="shared" ref="R5:R63" si="10">P5*Q5</f>
        <v>16500</v>
      </c>
      <c r="S5" s="38">
        <f>R5+R6</f>
        <v>29500.02</v>
      </c>
      <c r="T5" s="38">
        <f t="shared" si="3"/>
        <v>1475</v>
      </c>
      <c r="U5" s="41">
        <f t="shared" si="4"/>
        <v>30975.02</v>
      </c>
      <c r="W5" s="6">
        <v>45790</v>
      </c>
      <c r="X5" s="2" t="s">
        <v>423</v>
      </c>
      <c r="Y5" s="13" t="s">
        <v>471</v>
      </c>
      <c r="Z5" s="13" t="s">
        <v>14</v>
      </c>
      <c r="AA5" s="2">
        <v>129</v>
      </c>
      <c r="AB5" s="3">
        <v>2202.87</v>
      </c>
      <c r="AC5" s="3">
        <f t="shared" ref="AC5:AC52" si="11">AB5*AA5</f>
        <v>284170.23</v>
      </c>
      <c r="AD5" s="4">
        <f t="shared" ref="AD5:AD52" si="12">AC5</f>
        <v>284170.23</v>
      </c>
      <c r="AE5" s="4">
        <f t="shared" ref="AE5:AE52" si="13">ROUND(AD5*0.05,0)</f>
        <v>14209</v>
      </c>
      <c r="AF5" s="5">
        <f t="shared" ref="AF5:AF52" si="14">AD5+AE5</f>
        <v>298379.23</v>
      </c>
    </row>
    <row r="6" spans="1:32" x14ac:dyDescent="0.25">
      <c r="A6" s="6">
        <v>45786</v>
      </c>
      <c r="B6" s="2" t="s">
        <v>483</v>
      </c>
      <c r="C6" s="13" t="s">
        <v>534</v>
      </c>
      <c r="D6" s="13" t="s">
        <v>14</v>
      </c>
      <c r="E6" s="2">
        <v>1</v>
      </c>
      <c r="F6" s="3">
        <v>3050</v>
      </c>
      <c r="G6" s="3">
        <f t="shared" si="6"/>
        <v>3050</v>
      </c>
      <c r="H6" s="4">
        <f t="shared" si="7"/>
        <v>3050</v>
      </c>
      <c r="I6" s="4">
        <f t="shared" si="8"/>
        <v>153</v>
      </c>
      <c r="J6" s="5">
        <f t="shared" si="9"/>
        <v>3203</v>
      </c>
      <c r="L6" s="33"/>
      <c r="M6" s="36"/>
      <c r="N6" s="36"/>
      <c r="O6" s="13" t="s">
        <v>16</v>
      </c>
      <c r="P6" s="2">
        <v>6</v>
      </c>
      <c r="Q6" s="3">
        <v>2166.67</v>
      </c>
      <c r="R6" s="16">
        <f t="shared" si="10"/>
        <v>13000.02</v>
      </c>
      <c r="S6" s="40"/>
      <c r="T6" s="40"/>
      <c r="U6" s="43"/>
      <c r="W6" s="6">
        <v>45796</v>
      </c>
      <c r="X6" s="2" t="s">
        <v>424</v>
      </c>
      <c r="Y6" s="13" t="s">
        <v>472</v>
      </c>
      <c r="Z6" s="13" t="s">
        <v>14</v>
      </c>
      <c r="AA6" s="2">
        <v>56</v>
      </c>
      <c r="AB6" s="3">
        <v>2744.64</v>
      </c>
      <c r="AC6" s="3">
        <f t="shared" si="11"/>
        <v>153699.84</v>
      </c>
      <c r="AD6" s="4">
        <f t="shared" si="12"/>
        <v>153699.84</v>
      </c>
      <c r="AE6" s="4">
        <f t="shared" si="13"/>
        <v>7685</v>
      </c>
      <c r="AF6" s="5">
        <f t="shared" si="14"/>
        <v>161384.84</v>
      </c>
    </row>
    <row r="7" spans="1:32" x14ac:dyDescent="0.25">
      <c r="A7" s="6">
        <v>45799</v>
      </c>
      <c r="B7" s="2" t="s">
        <v>484</v>
      </c>
      <c r="C7" s="13" t="s">
        <v>535</v>
      </c>
      <c r="D7" s="13" t="s">
        <v>14</v>
      </c>
      <c r="E7" s="2">
        <v>16</v>
      </c>
      <c r="F7" s="3">
        <v>4495.4399999999996</v>
      </c>
      <c r="G7" s="3">
        <f t="shared" si="6"/>
        <v>71927.039999999994</v>
      </c>
      <c r="H7" s="4">
        <f t="shared" si="7"/>
        <v>71927.039999999994</v>
      </c>
      <c r="I7" s="4">
        <f t="shared" si="8"/>
        <v>3596</v>
      </c>
      <c r="J7" s="5">
        <f t="shared" si="9"/>
        <v>75523.039999999994</v>
      </c>
      <c r="L7" s="6">
        <v>45779</v>
      </c>
      <c r="M7" s="2" t="s">
        <v>539</v>
      </c>
      <c r="N7" s="13" t="s">
        <v>580</v>
      </c>
      <c r="O7" s="13" t="s">
        <v>14</v>
      </c>
      <c r="P7" s="2">
        <v>1</v>
      </c>
      <c r="Q7" s="3">
        <v>4000</v>
      </c>
      <c r="R7" s="3">
        <f t="shared" si="10"/>
        <v>4000</v>
      </c>
      <c r="S7" s="4">
        <f t="shared" si="2"/>
        <v>4000</v>
      </c>
      <c r="T7" s="4">
        <f t="shared" si="3"/>
        <v>200</v>
      </c>
      <c r="U7" s="5">
        <f t="shared" si="4"/>
        <v>4200</v>
      </c>
      <c r="W7" s="6">
        <v>45797</v>
      </c>
      <c r="X7" s="2" t="s">
        <v>425</v>
      </c>
      <c r="Y7" s="13" t="s">
        <v>472</v>
      </c>
      <c r="Z7" s="13" t="s">
        <v>14</v>
      </c>
      <c r="AA7" s="2">
        <v>231</v>
      </c>
      <c r="AB7" s="3">
        <f>AC7/AA7</f>
        <v>2527.7056277056276</v>
      </c>
      <c r="AC7" s="3">
        <v>583900</v>
      </c>
      <c r="AD7" s="4">
        <f t="shared" si="12"/>
        <v>583900</v>
      </c>
      <c r="AE7" s="4">
        <f t="shared" si="13"/>
        <v>29195</v>
      </c>
      <c r="AF7" s="5">
        <f t="shared" si="14"/>
        <v>613095</v>
      </c>
    </row>
    <row r="8" spans="1:32" x14ac:dyDescent="0.25">
      <c r="A8" s="6">
        <v>45800</v>
      </c>
      <c r="B8" s="2" t="s">
        <v>485</v>
      </c>
      <c r="C8" s="13" t="s">
        <v>536</v>
      </c>
      <c r="D8" s="13" t="s">
        <v>14</v>
      </c>
      <c r="E8" s="2">
        <v>2</v>
      </c>
      <c r="F8" s="3">
        <v>3725</v>
      </c>
      <c r="G8" s="3">
        <f t="shared" si="6"/>
        <v>7450</v>
      </c>
      <c r="H8" s="4">
        <f t="shared" si="7"/>
        <v>7450</v>
      </c>
      <c r="I8" s="4">
        <f t="shared" si="8"/>
        <v>373</v>
      </c>
      <c r="J8" s="5">
        <f t="shared" si="9"/>
        <v>7823</v>
      </c>
      <c r="L8" s="15" t="s">
        <v>581</v>
      </c>
      <c r="M8" s="2" t="s">
        <v>540</v>
      </c>
      <c r="N8" s="2"/>
      <c r="O8" s="2"/>
      <c r="P8" s="2"/>
      <c r="Q8" s="3"/>
      <c r="R8" s="3">
        <f t="shared" si="10"/>
        <v>0</v>
      </c>
      <c r="S8" s="4">
        <f t="shared" si="2"/>
        <v>0</v>
      </c>
      <c r="T8" s="4">
        <f t="shared" si="3"/>
        <v>0</v>
      </c>
      <c r="U8" s="5">
        <f t="shared" si="4"/>
        <v>0</v>
      </c>
      <c r="W8" s="6">
        <v>45799</v>
      </c>
      <c r="X8" s="2" t="s">
        <v>426</v>
      </c>
      <c r="Y8" s="13" t="s">
        <v>473</v>
      </c>
      <c r="Z8" s="13" t="s">
        <v>14</v>
      </c>
      <c r="AA8" s="2">
        <v>95</v>
      </c>
      <c r="AB8" s="3">
        <v>2576.84</v>
      </c>
      <c r="AC8" s="3">
        <f t="shared" si="11"/>
        <v>244799.80000000002</v>
      </c>
      <c r="AD8" s="4">
        <f t="shared" si="12"/>
        <v>244799.80000000002</v>
      </c>
      <c r="AE8" s="4">
        <f t="shared" si="13"/>
        <v>12240</v>
      </c>
      <c r="AF8" s="5">
        <f t="shared" si="14"/>
        <v>257039.80000000002</v>
      </c>
    </row>
    <row r="9" spans="1:32" x14ac:dyDescent="0.25">
      <c r="A9" s="6">
        <v>45809</v>
      </c>
      <c r="B9" s="2" t="s">
        <v>486</v>
      </c>
      <c r="C9" s="13" t="s">
        <v>622</v>
      </c>
      <c r="D9" s="13" t="s">
        <v>613</v>
      </c>
      <c r="E9" s="2">
        <v>7</v>
      </c>
      <c r="F9" s="3">
        <v>514.29</v>
      </c>
      <c r="G9" s="3">
        <f t="shared" si="6"/>
        <v>3600.0299999999997</v>
      </c>
      <c r="H9" s="4">
        <f t="shared" si="7"/>
        <v>3600.0299999999997</v>
      </c>
      <c r="I9" s="4">
        <f t="shared" si="8"/>
        <v>180</v>
      </c>
      <c r="J9" s="5">
        <f t="shared" si="9"/>
        <v>3780.0299999999997</v>
      </c>
      <c r="L9" s="31">
        <v>45779</v>
      </c>
      <c r="M9" s="34" t="s">
        <v>582</v>
      </c>
      <c r="N9" s="37" t="s">
        <v>583</v>
      </c>
      <c r="O9" s="13" t="s">
        <v>14</v>
      </c>
      <c r="P9" s="2">
        <v>3</v>
      </c>
      <c r="Q9" s="3">
        <v>4346</v>
      </c>
      <c r="R9" s="16">
        <f t="shared" si="10"/>
        <v>13038</v>
      </c>
      <c r="S9" s="38">
        <f>R9+R10</f>
        <v>18738</v>
      </c>
      <c r="T9" s="38">
        <f t="shared" si="3"/>
        <v>937</v>
      </c>
      <c r="U9" s="41">
        <f t="shared" si="4"/>
        <v>19675</v>
      </c>
      <c r="W9" s="6">
        <v>45809</v>
      </c>
      <c r="X9" s="2" t="s">
        <v>427</v>
      </c>
      <c r="Y9" s="13" t="s">
        <v>74</v>
      </c>
      <c r="Z9" s="13" t="s">
        <v>14</v>
      </c>
      <c r="AA9" s="2">
        <v>160</v>
      </c>
      <c r="AB9" s="3">
        <v>2067.5</v>
      </c>
      <c r="AC9" s="3">
        <f t="shared" si="11"/>
        <v>330800</v>
      </c>
      <c r="AD9" s="4">
        <f t="shared" si="12"/>
        <v>330800</v>
      </c>
      <c r="AE9" s="4">
        <f t="shared" si="13"/>
        <v>16540</v>
      </c>
      <c r="AF9" s="5">
        <f t="shared" si="14"/>
        <v>347340</v>
      </c>
    </row>
    <row r="10" spans="1:32" x14ac:dyDescent="0.25">
      <c r="A10" s="6">
        <v>45809</v>
      </c>
      <c r="B10" s="2" t="s">
        <v>487</v>
      </c>
      <c r="C10" s="13" t="s">
        <v>624</v>
      </c>
      <c r="D10" s="13" t="s">
        <v>14</v>
      </c>
      <c r="E10" s="2">
        <v>455</v>
      </c>
      <c r="F10" s="3">
        <v>2617.77</v>
      </c>
      <c r="G10" s="3">
        <f t="shared" si="6"/>
        <v>1191085.3500000001</v>
      </c>
      <c r="H10" s="4">
        <f t="shared" si="7"/>
        <v>1191085.3500000001</v>
      </c>
      <c r="I10" s="4">
        <f t="shared" si="8"/>
        <v>59554</v>
      </c>
      <c r="J10" s="5">
        <f t="shared" si="9"/>
        <v>1250639.3500000001</v>
      </c>
      <c r="L10" s="33"/>
      <c r="M10" s="36"/>
      <c r="N10" s="36"/>
      <c r="O10" s="13" t="s">
        <v>16</v>
      </c>
      <c r="P10" s="2">
        <v>2</v>
      </c>
      <c r="Q10" s="3">
        <v>2850</v>
      </c>
      <c r="R10" s="16">
        <f t="shared" si="10"/>
        <v>5700</v>
      </c>
      <c r="S10" s="40"/>
      <c r="T10" s="40"/>
      <c r="U10" s="43"/>
      <c r="W10" s="6">
        <v>45813</v>
      </c>
      <c r="X10" s="2" t="s">
        <v>428</v>
      </c>
      <c r="Y10" s="13" t="s">
        <v>75</v>
      </c>
      <c r="Z10" s="13" t="s">
        <v>14</v>
      </c>
      <c r="AA10" s="2">
        <v>10</v>
      </c>
      <c r="AB10" s="3">
        <v>2850</v>
      </c>
      <c r="AC10" s="3">
        <f t="shared" si="11"/>
        <v>28500</v>
      </c>
      <c r="AD10" s="4">
        <f t="shared" si="12"/>
        <v>28500</v>
      </c>
      <c r="AE10" s="4">
        <f t="shared" si="13"/>
        <v>1425</v>
      </c>
      <c r="AF10" s="5">
        <f t="shared" si="14"/>
        <v>29925</v>
      </c>
    </row>
    <row r="11" spans="1:32" x14ac:dyDescent="0.25">
      <c r="A11" s="6">
        <v>45814</v>
      </c>
      <c r="B11" s="2" t="s">
        <v>488</v>
      </c>
      <c r="C11" s="13" t="s">
        <v>623</v>
      </c>
      <c r="D11" s="13" t="s">
        <v>14</v>
      </c>
      <c r="E11" s="2">
        <v>1</v>
      </c>
      <c r="F11" s="3">
        <v>2850</v>
      </c>
      <c r="G11" s="3">
        <f t="shared" si="6"/>
        <v>2850</v>
      </c>
      <c r="H11" s="4">
        <f t="shared" si="7"/>
        <v>2850</v>
      </c>
      <c r="I11" s="4">
        <f t="shared" si="8"/>
        <v>143</v>
      </c>
      <c r="J11" s="5">
        <f t="shared" si="9"/>
        <v>2993</v>
      </c>
      <c r="L11" s="6">
        <v>45779</v>
      </c>
      <c r="M11" s="2" t="s">
        <v>541</v>
      </c>
      <c r="N11" s="13" t="s">
        <v>584</v>
      </c>
      <c r="O11" s="13" t="s">
        <v>585</v>
      </c>
      <c r="P11" s="2">
        <v>131</v>
      </c>
      <c r="Q11" s="3">
        <v>150</v>
      </c>
      <c r="R11" s="3">
        <f t="shared" si="10"/>
        <v>19650</v>
      </c>
      <c r="S11" s="4">
        <f t="shared" si="2"/>
        <v>19650</v>
      </c>
      <c r="T11" s="4">
        <f t="shared" si="3"/>
        <v>983</v>
      </c>
      <c r="U11" s="5">
        <f t="shared" si="4"/>
        <v>20633</v>
      </c>
      <c r="W11" s="6">
        <v>45818</v>
      </c>
      <c r="X11" s="2" t="s">
        <v>429</v>
      </c>
      <c r="Y11" s="13" t="s">
        <v>73</v>
      </c>
      <c r="Z11" s="13" t="s">
        <v>14</v>
      </c>
      <c r="AA11" s="2">
        <v>140</v>
      </c>
      <c r="AB11" s="3">
        <v>2195.36</v>
      </c>
      <c r="AC11" s="3">
        <f t="shared" si="11"/>
        <v>307350.40000000002</v>
      </c>
      <c r="AD11" s="4">
        <f t="shared" si="12"/>
        <v>307350.40000000002</v>
      </c>
      <c r="AE11" s="4">
        <f t="shared" si="13"/>
        <v>15368</v>
      </c>
      <c r="AF11" s="5">
        <f t="shared" si="14"/>
        <v>322718.40000000002</v>
      </c>
    </row>
    <row r="12" spans="1:32" x14ac:dyDescent="0.25">
      <c r="A12" s="6">
        <v>45825</v>
      </c>
      <c r="B12" s="2" t="s">
        <v>489</v>
      </c>
      <c r="C12" s="13" t="s">
        <v>125</v>
      </c>
      <c r="D12" s="13" t="s">
        <v>14</v>
      </c>
      <c r="E12" s="2">
        <v>4</v>
      </c>
      <c r="F12" s="3">
        <v>5041</v>
      </c>
      <c r="G12" s="3">
        <f t="shared" si="6"/>
        <v>20164</v>
      </c>
      <c r="H12" s="4">
        <f t="shared" si="7"/>
        <v>20164</v>
      </c>
      <c r="I12" s="4">
        <f t="shared" si="8"/>
        <v>1008</v>
      </c>
      <c r="J12" s="5">
        <f t="shared" si="9"/>
        <v>21172</v>
      </c>
      <c r="L12" s="20" t="s">
        <v>581</v>
      </c>
      <c r="M12" s="21" t="s">
        <v>586</v>
      </c>
      <c r="N12" s="22" t="s">
        <v>587</v>
      </c>
      <c r="O12" s="13"/>
      <c r="P12" s="2"/>
      <c r="Q12" s="3"/>
      <c r="R12" s="4"/>
      <c r="S12" s="23"/>
      <c r="T12" s="23"/>
      <c r="U12" s="24"/>
      <c r="W12" s="6">
        <v>45818</v>
      </c>
      <c r="X12" s="2" t="s">
        <v>430</v>
      </c>
      <c r="Y12" s="13" t="s">
        <v>383</v>
      </c>
      <c r="Z12" s="13" t="s">
        <v>14</v>
      </c>
      <c r="AA12" s="2">
        <v>20</v>
      </c>
      <c r="AB12" s="3">
        <v>3250</v>
      </c>
      <c r="AC12" s="3">
        <f t="shared" si="11"/>
        <v>65000</v>
      </c>
      <c r="AD12" s="4">
        <f t="shared" si="12"/>
        <v>65000</v>
      </c>
      <c r="AE12" s="4">
        <f t="shared" si="13"/>
        <v>3250</v>
      </c>
      <c r="AF12" s="5">
        <f t="shared" si="14"/>
        <v>68250</v>
      </c>
    </row>
    <row r="13" spans="1:32" x14ac:dyDescent="0.25">
      <c r="A13" s="1"/>
      <c r="B13" s="2" t="s">
        <v>490</v>
      </c>
      <c r="C13" s="2"/>
      <c r="D13" s="2"/>
      <c r="E13" s="2"/>
      <c r="F13" s="3"/>
      <c r="G13" s="3">
        <f t="shared" si="6"/>
        <v>0</v>
      </c>
      <c r="H13" s="4">
        <f t="shared" si="7"/>
        <v>0</v>
      </c>
      <c r="I13" s="4">
        <f t="shared" si="8"/>
        <v>0</v>
      </c>
      <c r="J13" s="5">
        <f t="shared" si="9"/>
        <v>0</v>
      </c>
      <c r="L13" s="6">
        <v>45779</v>
      </c>
      <c r="M13" s="2" t="s">
        <v>542</v>
      </c>
      <c r="N13" s="13" t="s">
        <v>589</v>
      </c>
      <c r="O13" s="13" t="s">
        <v>14</v>
      </c>
      <c r="P13" s="2">
        <v>1</v>
      </c>
      <c r="Q13" s="3">
        <v>4400</v>
      </c>
      <c r="R13" s="3">
        <f t="shared" si="10"/>
        <v>4400</v>
      </c>
      <c r="S13" s="4">
        <f t="shared" si="2"/>
        <v>4400</v>
      </c>
      <c r="T13" s="4">
        <f t="shared" si="3"/>
        <v>220</v>
      </c>
      <c r="U13" s="5">
        <f t="shared" si="4"/>
        <v>4620</v>
      </c>
      <c r="W13" s="6">
        <v>45824</v>
      </c>
      <c r="X13" s="2" t="s">
        <v>431</v>
      </c>
      <c r="Y13" s="13" t="s">
        <v>383</v>
      </c>
      <c r="Z13" s="13" t="s">
        <v>14</v>
      </c>
      <c r="AA13" s="2">
        <v>95</v>
      </c>
      <c r="AB13" s="3">
        <v>2278.9499999999998</v>
      </c>
      <c r="AC13" s="3">
        <f t="shared" si="11"/>
        <v>216500.24999999997</v>
      </c>
      <c r="AD13" s="4">
        <f t="shared" si="12"/>
        <v>216500.24999999997</v>
      </c>
      <c r="AE13" s="4">
        <f t="shared" si="13"/>
        <v>10825</v>
      </c>
      <c r="AF13" s="5">
        <f t="shared" si="14"/>
        <v>227325.24999999997</v>
      </c>
    </row>
    <row r="14" spans="1:32" x14ac:dyDescent="0.25">
      <c r="A14" s="1"/>
      <c r="B14" s="2" t="s">
        <v>491</v>
      </c>
      <c r="C14" s="2"/>
      <c r="D14" s="2"/>
      <c r="E14" s="2"/>
      <c r="F14" s="3"/>
      <c r="G14" s="3">
        <f t="shared" si="6"/>
        <v>0</v>
      </c>
      <c r="H14" s="4">
        <f t="shared" si="7"/>
        <v>0</v>
      </c>
      <c r="I14" s="4">
        <f t="shared" si="8"/>
        <v>0</v>
      </c>
      <c r="J14" s="5">
        <f t="shared" si="9"/>
        <v>0</v>
      </c>
      <c r="L14" s="6">
        <v>45779</v>
      </c>
      <c r="M14" s="2" t="s">
        <v>543</v>
      </c>
      <c r="N14" s="13" t="s">
        <v>590</v>
      </c>
      <c r="O14" s="13" t="s">
        <v>14</v>
      </c>
      <c r="P14" s="2">
        <v>18</v>
      </c>
      <c r="Q14" s="3">
        <v>3079.39</v>
      </c>
      <c r="R14" s="3">
        <f t="shared" si="10"/>
        <v>55429.02</v>
      </c>
      <c r="S14" s="4">
        <f t="shared" si="2"/>
        <v>55429.02</v>
      </c>
      <c r="T14" s="4">
        <f t="shared" si="3"/>
        <v>2771</v>
      </c>
      <c r="U14" s="5">
        <f t="shared" si="4"/>
        <v>58200.02</v>
      </c>
      <c r="W14" s="1"/>
      <c r="X14" s="2" t="s">
        <v>432</v>
      </c>
      <c r="Y14" s="2"/>
      <c r="Z14" s="2"/>
      <c r="AA14" s="2"/>
      <c r="AB14" s="3"/>
      <c r="AC14" s="3">
        <f t="shared" si="11"/>
        <v>0</v>
      </c>
      <c r="AD14" s="4">
        <f t="shared" si="12"/>
        <v>0</v>
      </c>
      <c r="AE14" s="4">
        <f t="shared" si="13"/>
        <v>0</v>
      </c>
      <c r="AF14" s="5">
        <f t="shared" si="14"/>
        <v>0</v>
      </c>
    </row>
    <row r="15" spans="1:32" x14ac:dyDescent="0.25">
      <c r="A15" s="1"/>
      <c r="B15" s="2" t="s">
        <v>492</v>
      </c>
      <c r="C15" s="2"/>
      <c r="D15" s="2"/>
      <c r="E15" s="2"/>
      <c r="F15" s="3"/>
      <c r="G15" s="3">
        <f t="shared" si="6"/>
        <v>0</v>
      </c>
      <c r="H15" s="4">
        <f t="shared" si="7"/>
        <v>0</v>
      </c>
      <c r="I15" s="4">
        <f t="shared" si="8"/>
        <v>0</v>
      </c>
      <c r="J15" s="5">
        <f t="shared" si="9"/>
        <v>0</v>
      </c>
      <c r="L15" s="6">
        <v>45786</v>
      </c>
      <c r="M15" s="2" t="s">
        <v>544</v>
      </c>
      <c r="N15" s="13" t="s">
        <v>591</v>
      </c>
      <c r="O15" s="13" t="s">
        <v>14</v>
      </c>
      <c r="P15" s="2">
        <v>40</v>
      </c>
      <c r="Q15" s="3">
        <v>4600</v>
      </c>
      <c r="R15" s="3">
        <f t="shared" si="10"/>
        <v>184000</v>
      </c>
      <c r="S15" s="4">
        <f t="shared" si="2"/>
        <v>184000</v>
      </c>
      <c r="T15" s="4">
        <f t="shared" si="3"/>
        <v>9200</v>
      </c>
      <c r="U15" s="5">
        <f t="shared" si="4"/>
        <v>193200</v>
      </c>
      <c r="W15" s="1"/>
      <c r="X15" s="2" t="s">
        <v>433</v>
      </c>
      <c r="Y15" s="2"/>
      <c r="Z15" s="2"/>
      <c r="AA15" s="2"/>
      <c r="AB15" s="3"/>
      <c r="AC15" s="3">
        <f t="shared" si="11"/>
        <v>0</v>
      </c>
      <c r="AD15" s="4">
        <f t="shared" si="12"/>
        <v>0</v>
      </c>
      <c r="AE15" s="4">
        <f t="shared" si="13"/>
        <v>0</v>
      </c>
      <c r="AF15" s="5">
        <f t="shared" si="14"/>
        <v>0</v>
      </c>
    </row>
    <row r="16" spans="1:32" x14ac:dyDescent="0.25">
      <c r="A16" s="1"/>
      <c r="B16" s="2" t="s">
        <v>493</v>
      </c>
      <c r="C16" s="2"/>
      <c r="D16" s="2"/>
      <c r="E16" s="2"/>
      <c r="F16" s="3"/>
      <c r="G16" s="3">
        <f t="shared" si="6"/>
        <v>0</v>
      </c>
      <c r="H16" s="4">
        <f t="shared" si="7"/>
        <v>0</v>
      </c>
      <c r="I16" s="4">
        <f t="shared" si="8"/>
        <v>0</v>
      </c>
      <c r="J16" s="5">
        <f t="shared" si="9"/>
        <v>0</v>
      </c>
      <c r="L16" s="31">
        <v>45796</v>
      </c>
      <c r="M16" s="34" t="s">
        <v>592</v>
      </c>
      <c r="N16" s="37" t="s">
        <v>593</v>
      </c>
      <c r="O16" s="13" t="s">
        <v>15</v>
      </c>
      <c r="P16" s="2">
        <v>2</v>
      </c>
      <c r="Q16" s="3">
        <v>400</v>
      </c>
      <c r="R16" s="16">
        <f t="shared" si="10"/>
        <v>800</v>
      </c>
      <c r="S16" s="38">
        <f>R16+R17</f>
        <v>1886514</v>
      </c>
      <c r="T16" s="38">
        <f t="shared" si="3"/>
        <v>94326</v>
      </c>
      <c r="U16" s="41">
        <f t="shared" si="4"/>
        <v>1980840</v>
      </c>
      <c r="W16" s="1"/>
      <c r="X16" s="2" t="s">
        <v>434</v>
      </c>
      <c r="Y16" s="2"/>
      <c r="Z16" s="2"/>
      <c r="AA16" s="2"/>
      <c r="AB16" s="3"/>
      <c r="AC16" s="3">
        <f t="shared" si="11"/>
        <v>0</v>
      </c>
      <c r="AD16" s="4">
        <f t="shared" si="12"/>
        <v>0</v>
      </c>
      <c r="AE16" s="4">
        <f t="shared" si="13"/>
        <v>0</v>
      </c>
      <c r="AF16" s="5">
        <f t="shared" si="14"/>
        <v>0</v>
      </c>
    </row>
    <row r="17" spans="1:32" x14ac:dyDescent="0.25">
      <c r="A17" s="1"/>
      <c r="B17" s="2" t="s">
        <v>494</v>
      </c>
      <c r="C17" s="2"/>
      <c r="D17" s="2"/>
      <c r="E17" s="2"/>
      <c r="F17" s="3"/>
      <c r="G17" s="3">
        <f t="shared" si="6"/>
        <v>0</v>
      </c>
      <c r="H17" s="4">
        <f t="shared" si="7"/>
        <v>0</v>
      </c>
      <c r="I17" s="4">
        <f t="shared" si="8"/>
        <v>0</v>
      </c>
      <c r="J17" s="5">
        <f t="shared" si="9"/>
        <v>0</v>
      </c>
      <c r="L17" s="33"/>
      <c r="M17" s="36"/>
      <c r="N17" s="36"/>
      <c r="O17" s="13" t="s">
        <v>14</v>
      </c>
      <c r="P17" s="2">
        <v>900</v>
      </c>
      <c r="Q17" s="3">
        <f>R17/P17</f>
        <v>2095.2377777777779</v>
      </c>
      <c r="R17" s="16">
        <v>1885714</v>
      </c>
      <c r="S17" s="40"/>
      <c r="T17" s="40"/>
      <c r="U17" s="43"/>
      <c r="W17" s="1"/>
      <c r="X17" s="2" t="s">
        <v>435</v>
      </c>
      <c r="Y17" s="2"/>
      <c r="Z17" s="2"/>
      <c r="AA17" s="2"/>
      <c r="AB17" s="3"/>
      <c r="AC17" s="3">
        <f t="shared" si="11"/>
        <v>0</v>
      </c>
      <c r="AD17" s="4">
        <f t="shared" si="12"/>
        <v>0</v>
      </c>
      <c r="AE17" s="4">
        <f t="shared" si="13"/>
        <v>0</v>
      </c>
      <c r="AF17" s="5">
        <f t="shared" si="14"/>
        <v>0</v>
      </c>
    </row>
    <row r="18" spans="1:32" x14ac:dyDescent="0.25">
      <c r="A18" s="1"/>
      <c r="B18" s="2" t="s">
        <v>495</v>
      </c>
      <c r="C18" s="2"/>
      <c r="D18" s="2"/>
      <c r="E18" s="2"/>
      <c r="F18" s="3"/>
      <c r="G18" s="3"/>
      <c r="H18" s="4"/>
      <c r="I18" s="4"/>
      <c r="J18" s="5"/>
      <c r="L18" s="6">
        <v>45796</v>
      </c>
      <c r="M18" s="2" t="s">
        <v>545</v>
      </c>
      <c r="N18" s="13" t="s">
        <v>594</v>
      </c>
      <c r="O18" s="13" t="s">
        <v>14</v>
      </c>
      <c r="P18" s="2">
        <v>1</v>
      </c>
      <c r="Q18" s="3">
        <v>2200</v>
      </c>
      <c r="R18" s="3">
        <f t="shared" ref="R18:R20" si="15">P18*Q18</f>
        <v>2200</v>
      </c>
      <c r="S18" s="4">
        <f t="shared" ref="S18" si="16">R18</f>
        <v>2200</v>
      </c>
      <c r="T18" s="4">
        <f t="shared" ref="T18:T19" si="17">ROUND(S18*0.05,0)</f>
        <v>110</v>
      </c>
      <c r="U18" s="5">
        <f t="shared" ref="U18:U19" si="18">S18+T18</f>
        <v>2310</v>
      </c>
      <c r="W18" s="1"/>
      <c r="X18" s="2" t="s">
        <v>436</v>
      </c>
      <c r="Y18" s="2"/>
      <c r="Z18" s="2"/>
      <c r="AA18" s="2"/>
      <c r="AB18" s="3"/>
      <c r="AC18" s="3"/>
      <c r="AD18" s="4"/>
      <c r="AE18" s="4"/>
      <c r="AF18" s="5"/>
    </row>
    <row r="19" spans="1:32" x14ac:dyDescent="0.25">
      <c r="A19" s="1"/>
      <c r="B19" s="2" t="s">
        <v>496</v>
      </c>
      <c r="C19" s="2"/>
      <c r="D19" s="2"/>
      <c r="E19" s="2"/>
      <c r="F19" s="3"/>
      <c r="G19" s="3">
        <f t="shared" si="6"/>
        <v>0</v>
      </c>
      <c r="H19" s="4">
        <f t="shared" si="7"/>
        <v>0</v>
      </c>
      <c r="I19" s="4">
        <f t="shared" si="8"/>
        <v>0</v>
      </c>
      <c r="J19" s="5">
        <f t="shared" si="9"/>
        <v>0</v>
      </c>
      <c r="L19" s="31">
        <v>45798</v>
      </c>
      <c r="M19" s="34" t="s">
        <v>595</v>
      </c>
      <c r="N19" s="37" t="s">
        <v>596</v>
      </c>
      <c r="O19" s="13" t="s">
        <v>14</v>
      </c>
      <c r="P19" s="2">
        <v>16</v>
      </c>
      <c r="Q19" s="3">
        <v>2218.75</v>
      </c>
      <c r="R19" s="16">
        <f t="shared" si="15"/>
        <v>35500</v>
      </c>
      <c r="S19" s="38">
        <f>R19+R20</f>
        <v>37800</v>
      </c>
      <c r="T19" s="38">
        <f t="shared" si="17"/>
        <v>1890</v>
      </c>
      <c r="U19" s="41">
        <f t="shared" si="18"/>
        <v>39690</v>
      </c>
      <c r="W19" s="1"/>
      <c r="X19" s="2" t="s">
        <v>437</v>
      </c>
      <c r="Y19" s="2"/>
      <c r="Z19" s="2"/>
      <c r="AA19" s="2"/>
      <c r="AB19" s="3"/>
      <c r="AC19" s="3">
        <f t="shared" si="11"/>
        <v>0</v>
      </c>
      <c r="AD19" s="4">
        <f t="shared" si="12"/>
        <v>0</v>
      </c>
      <c r="AE19" s="4">
        <f t="shared" si="13"/>
        <v>0</v>
      </c>
      <c r="AF19" s="5">
        <f t="shared" si="14"/>
        <v>0</v>
      </c>
    </row>
    <row r="20" spans="1:32" x14ac:dyDescent="0.25">
      <c r="A20" s="1"/>
      <c r="B20" s="2" t="s">
        <v>497</v>
      </c>
      <c r="C20" s="2"/>
      <c r="D20" s="2"/>
      <c r="E20" s="2"/>
      <c r="F20" s="3"/>
      <c r="G20" s="3">
        <f t="shared" si="6"/>
        <v>0</v>
      </c>
      <c r="H20" s="4">
        <f t="shared" si="7"/>
        <v>0</v>
      </c>
      <c r="I20" s="4">
        <f t="shared" si="8"/>
        <v>0</v>
      </c>
      <c r="J20" s="5">
        <f t="shared" si="9"/>
        <v>0</v>
      </c>
      <c r="L20" s="33"/>
      <c r="M20" s="36"/>
      <c r="N20" s="36"/>
      <c r="O20" s="13" t="s">
        <v>16</v>
      </c>
      <c r="P20" s="2">
        <v>1</v>
      </c>
      <c r="Q20" s="3">
        <v>2300</v>
      </c>
      <c r="R20" s="16">
        <f t="shared" si="15"/>
        <v>2300</v>
      </c>
      <c r="S20" s="40"/>
      <c r="T20" s="40"/>
      <c r="U20" s="43"/>
      <c r="W20" s="1"/>
      <c r="X20" s="2" t="s">
        <v>438</v>
      </c>
      <c r="Y20" s="2"/>
      <c r="Z20" s="2"/>
      <c r="AA20" s="2"/>
      <c r="AB20" s="3"/>
      <c r="AC20" s="3">
        <f t="shared" si="11"/>
        <v>0</v>
      </c>
      <c r="AD20" s="4">
        <f t="shared" si="12"/>
        <v>0</v>
      </c>
      <c r="AE20" s="4">
        <f t="shared" si="13"/>
        <v>0</v>
      </c>
      <c r="AF20" s="5">
        <f t="shared" si="14"/>
        <v>0</v>
      </c>
    </row>
    <row r="21" spans="1:32" x14ac:dyDescent="0.25">
      <c r="A21" s="1"/>
      <c r="B21" s="2" t="s">
        <v>498</v>
      </c>
      <c r="C21" s="2"/>
      <c r="D21" s="2"/>
      <c r="E21" s="2"/>
      <c r="F21" s="3"/>
      <c r="G21" s="3">
        <f t="shared" si="6"/>
        <v>0</v>
      </c>
      <c r="H21" s="4">
        <f t="shared" si="7"/>
        <v>0</v>
      </c>
      <c r="I21" s="4">
        <f t="shared" si="8"/>
        <v>0</v>
      </c>
      <c r="J21" s="5">
        <f t="shared" si="9"/>
        <v>0</v>
      </c>
      <c r="L21" s="31">
        <v>45779</v>
      </c>
      <c r="M21" s="34" t="s">
        <v>588</v>
      </c>
      <c r="N21" s="37" t="s">
        <v>587</v>
      </c>
      <c r="O21" s="13" t="s">
        <v>14</v>
      </c>
      <c r="P21" s="2">
        <v>2</v>
      </c>
      <c r="Q21" s="3">
        <v>950</v>
      </c>
      <c r="R21" s="4">
        <f t="shared" ref="R21" si="19">P21*Q21</f>
        <v>1900</v>
      </c>
      <c r="S21" s="38">
        <f>R21+R22+R23</f>
        <v>9574</v>
      </c>
      <c r="T21" s="38">
        <f t="shared" ref="T21" si="20">ROUND(S21*0.05,0)</f>
        <v>479</v>
      </c>
      <c r="U21" s="41">
        <f t="shared" ref="U21" si="21">S21+T21</f>
        <v>10053</v>
      </c>
      <c r="W21" s="1"/>
      <c r="X21" s="2" t="s">
        <v>439</v>
      </c>
      <c r="Y21" s="2"/>
      <c r="Z21" s="2"/>
      <c r="AA21" s="2"/>
      <c r="AB21" s="3"/>
      <c r="AC21" s="3">
        <f t="shared" si="11"/>
        <v>0</v>
      </c>
      <c r="AD21" s="4">
        <f t="shared" si="12"/>
        <v>0</v>
      </c>
      <c r="AE21" s="4">
        <f t="shared" si="13"/>
        <v>0</v>
      </c>
      <c r="AF21" s="5">
        <f t="shared" si="14"/>
        <v>0</v>
      </c>
    </row>
    <row r="22" spans="1:32" x14ac:dyDescent="0.25">
      <c r="A22" s="1"/>
      <c r="B22" s="2" t="s">
        <v>499</v>
      </c>
      <c r="C22" s="2"/>
      <c r="D22" s="2"/>
      <c r="E22" s="2"/>
      <c r="F22" s="3"/>
      <c r="G22" s="3">
        <f t="shared" si="6"/>
        <v>0</v>
      </c>
      <c r="H22" s="4">
        <f t="shared" si="7"/>
        <v>0</v>
      </c>
      <c r="I22" s="4">
        <f t="shared" si="8"/>
        <v>0</v>
      </c>
      <c r="J22" s="5">
        <f t="shared" si="9"/>
        <v>0</v>
      </c>
      <c r="L22" s="32"/>
      <c r="M22" s="35"/>
      <c r="N22" s="35"/>
      <c r="O22" s="13" t="s">
        <v>16</v>
      </c>
      <c r="P22" s="2">
        <v>3</v>
      </c>
      <c r="Q22" s="3">
        <f>R22/P22</f>
        <v>2383.3333333333335</v>
      </c>
      <c r="R22" s="4">
        <v>7150</v>
      </c>
      <c r="S22" s="39"/>
      <c r="T22" s="39"/>
      <c r="U22" s="42"/>
      <c r="W22" s="1"/>
      <c r="X22" s="2" t="s">
        <v>440</v>
      </c>
      <c r="Y22" s="2"/>
      <c r="Z22" s="2"/>
      <c r="AA22" s="2"/>
      <c r="AB22" s="3"/>
      <c r="AC22" s="3">
        <f t="shared" si="11"/>
        <v>0</v>
      </c>
      <c r="AD22" s="4">
        <f t="shared" si="12"/>
        <v>0</v>
      </c>
      <c r="AE22" s="4">
        <f t="shared" si="13"/>
        <v>0</v>
      </c>
      <c r="AF22" s="5">
        <f t="shared" si="14"/>
        <v>0</v>
      </c>
    </row>
    <row r="23" spans="1:32" x14ac:dyDescent="0.25">
      <c r="A23" s="1"/>
      <c r="B23" s="2" t="s">
        <v>500</v>
      </c>
      <c r="C23" s="2"/>
      <c r="D23" s="2"/>
      <c r="E23" s="2"/>
      <c r="F23" s="3"/>
      <c r="G23" s="3">
        <f t="shared" si="6"/>
        <v>0</v>
      </c>
      <c r="H23" s="4">
        <f t="shared" si="7"/>
        <v>0</v>
      </c>
      <c r="I23" s="4">
        <f t="shared" si="8"/>
        <v>0</v>
      </c>
      <c r="J23" s="5">
        <f t="shared" si="9"/>
        <v>0</v>
      </c>
      <c r="L23" s="33"/>
      <c r="M23" s="36"/>
      <c r="N23" s="36"/>
      <c r="O23" s="13" t="s">
        <v>15</v>
      </c>
      <c r="P23" s="2">
        <v>1</v>
      </c>
      <c r="Q23" s="3">
        <v>524</v>
      </c>
      <c r="R23" s="4">
        <f t="shared" ref="R23" si="22">P23*Q23</f>
        <v>524</v>
      </c>
      <c r="S23" s="40"/>
      <c r="T23" s="40"/>
      <c r="U23" s="43"/>
      <c r="W23" s="1"/>
      <c r="X23" s="2" t="s">
        <v>441</v>
      </c>
      <c r="Y23" s="2"/>
      <c r="Z23" s="2"/>
      <c r="AA23" s="2"/>
      <c r="AB23" s="3"/>
      <c r="AC23" s="3">
        <f t="shared" si="11"/>
        <v>0</v>
      </c>
      <c r="AD23" s="4">
        <f t="shared" si="12"/>
        <v>0</v>
      </c>
      <c r="AE23" s="4">
        <f t="shared" si="13"/>
        <v>0</v>
      </c>
      <c r="AF23" s="5">
        <f t="shared" si="14"/>
        <v>0</v>
      </c>
    </row>
    <row r="24" spans="1:32" x14ac:dyDescent="0.25">
      <c r="A24" s="1"/>
      <c r="B24" s="2" t="s">
        <v>501</v>
      </c>
      <c r="C24" s="2"/>
      <c r="D24" s="2"/>
      <c r="E24" s="2"/>
      <c r="F24" s="3"/>
      <c r="G24" s="3">
        <f t="shared" si="6"/>
        <v>0</v>
      </c>
      <c r="H24" s="4">
        <f t="shared" si="7"/>
        <v>0</v>
      </c>
      <c r="I24" s="4">
        <f t="shared" si="8"/>
        <v>0</v>
      </c>
      <c r="J24" s="5">
        <f t="shared" si="9"/>
        <v>0</v>
      </c>
      <c r="L24" s="6">
        <v>45809</v>
      </c>
      <c r="M24" s="2" t="s">
        <v>546</v>
      </c>
      <c r="N24" s="13" t="s">
        <v>597</v>
      </c>
      <c r="O24" s="13" t="s">
        <v>15</v>
      </c>
      <c r="P24" s="2">
        <v>5</v>
      </c>
      <c r="Q24" s="3">
        <v>130</v>
      </c>
      <c r="R24" s="3">
        <f t="shared" si="10"/>
        <v>650</v>
      </c>
      <c r="S24" s="4">
        <f t="shared" si="2"/>
        <v>650</v>
      </c>
      <c r="T24" s="4">
        <f t="shared" si="3"/>
        <v>33</v>
      </c>
      <c r="U24" s="5">
        <f t="shared" si="4"/>
        <v>683</v>
      </c>
      <c r="W24" s="1"/>
      <c r="X24" s="2" t="s">
        <v>442</v>
      </c>
      <c r="Y24" s="2"/>
      <c r="Z24" s="2"/>
      <c r="AA24" s="2"/>
      <c r="AB24" s="3"/>
      <c r="AC24" s="3">
        <f t="shared" si="11"/>
        <v>0</v>
      </c>
      <c r="AD24" s="4">
        <f t="shared" si="12"/>
        <v>0</v>
      </c>
      <c r="AE24" s="4">
        <f t="shared" si="13"/>
        <v>0</v>
      </c>
      <c r="AF24" s="5">
        <f t="shared" si="14"/>
        <v>0</v>
      </c>
    </row>
    <row r="25" spans="1:32" x14ac:dyDescent="0.25">
      <c r="A25" s="1"/>
      <c r="B25" s="2" t="s">
        <v>502</v>
      </c>
      <c r="C25" s="2"/>
      <c r="D25" s="2"/>
      <c r="E25" s="2"/>
      <c r="F25" s="3"/>
      <c r="G25" s="3">
        <f t="shared" si="6"/>
        <v>0</v>
      </c>
      <c r="H25" s="4">
        <f t="shared" si="7"/>
        <v>0</v>
      </c>
      <c r="I25" s="4">
        <f t="shared" si="8"/>
        <v>0</v>
      </c>
      <c r="J25" s="5">
        <f t="shared" si="9"/>
        <v>0</v>
      </c>
      <c r="L25" s="31">
        <v>45809</v>
      </c>
      <c r="M25" s="34" t="s">
        <v>598</v>
      </c>
      <c r="N25" s="37" t="s">
        <v>599</v>
      </c>
      <c r="O25" s="13" t="s">
        <v>14</v>
      </c>
      <c r="P25" s="2">
        <v>39</v>
      </c>
      <c r="Q25" s="3">
        <v>2204.7399999999998</v>
      </c>
      <c r="R25" s="16">
        <f t="shared" si="10"/>
        <v>85984.859999999986</v>
      </c>
      <c r="S25" s="38">
        <f>R25+R26</f>
        <v>196584.86</v>
      </c>
      <c r="T25" s="38">
        <f t="shared" si="3"/>
        <v>9829</v>
      </c>
      <c r="U25" s="41">
        <f t="shared" si="4"/>
        <v>206413.86</v>
      </c>
      <c r="W25" s="1"/>
      <c r="X25" s="2" t="s">
        <v>443</v>
      </c>
      <c r="Y25" s="2"/>
      <c r="Z25" s="2"/>
      <c r="AA25" s="2"/>
      <c r="AB25" s="3"/>
      <c r="AC25" s="3">
        <f t="shared" si="11"/>
        <v>0</v>
      </c>
      <c r="AD25" s="4">
        <f t="shared" si="12"/>
        <v>0</v>
      </c>
      <c r="AE25" s="4">
        <f t="shared" si="13"/>
        <v>0</v>
      </c>
      <c r="AF25" s="5">
        <f t="shared" si="14"/>
        <v>0</v>
      </c>
    </row>
    <row r="26" spans="1:32" x14ac:dyDescent="0.25">
      <c r="A26" s="1"/>
      <c r="B26" s="2" t="s">
        <v>503</v>
      </c>
      <c r="C26" s="2"/>
      <c r="D26" s="2"/>
      <c r="E26" s="2"/>
      <c r="F26" s="3"/>
      <c r="G26" s="3">
        <f t="shared" si="6"/>
        <v>0</v>
      </c>
      <c r="H26" s="4">
        <f t="shared" si="7"/>
        <v>0</v>
      </c>
      <c r="I26" s="4">
        <f t="shared" si="8"/>
        <v>0</v>
      </c>
      <c r="J26" s="5">
        <f t="shared" si="9"/>
        <v>0</v>
      </c>
      <c r="L26" s="33"/>
      <c r="M26" s="36"/>
      <c r="N26" s="36"/>
      <c r="O26" s="13" t="s">
        <v>16</v>
      </c>
      <c r="P26" s="2">
        <v>40</v>
      </c>
      <c r="Q26" s="3">
        <v>2765</v>
      </c>
      <c r="R26" s="16">
        <f t="shared" si="10"/>
        <v>110600</v>
      </c>
      <c r="S26" s="40"/>
      <c r="T26" s="40"/>
      <c r="U26" s="43"/>
      <c r="W26" s="1"/>
      <c r="X26" s="2" t="s">
        <v>444</v>
      </c>
      <c r="Y26" s="2"/>
      <c r="Z26" s="2"/>
      <c r="AA26" s="2"/>
      <c r="AB26" s="3"/>
      <c r="AC26" s="3">
        <f t="shared" si="11"/>
        <v>0</v>
      </c>
      <c r="AD26" s="4">
        <f t="shared" si="12"/>
        <v>0</v>
      </c>
      <c r="AE26" s="4">
        <f t="shared" si="13"/>
        <v>0</v>
      </c>
      <c r="AF26" s="5">
        <f t="shared" si="14"/>
        <v>0</v>
      </c>
    </row>
    <row r="27" spans="1:32" x14ac:dyDescent="0.25">
      <c r="A27" s="1"/>
      <c r="B27" s="2" t="s">
        <v>504</v>
      </c>
      <c r="C27" s="2"/>
      <c r="D27" s="2"/>
      <c r="E27" s="2"/>
      <c r="F27" s="3"/>
      <c r="G27" s="3">
        <f t="shared" si="6"/>
        <v>0</v>
      </c>
      <c r="H27" s="4">
        <f t="shared" si="7"/>
        <v>0</v>
      </c>
      <c r="I27" s="4">
        <f t="shared" si="8"/>
        <v>0</v>
      </c>
      <c r="J27" s="5">
        <f t="shared" si="9"/>
        <v>0</v>
      </c>
      <c r="L27" s="6">
        <v>45809</v>
      </c>
      <c r="M27" s="2" t="s">
        <v>600</v>
      </c>
      <c r="N27" s="13" t="s">
        <v>601</v>
      </c>
      <c r="O27" s="13" t="s">
        <v>14</v>
      </c>
      <c r="P27" s="2">
        <v>1</v>
      </c>
      <c r="Q27" s="3">
        <v>3333</v>
      </c>
      <c r="R27" s="3">
        <f t="shared" si="10"/>
        <v>3333</v>
      </c>
      <c r="S27" s="4">
        <f t="shared" si="2"/>
        <v>3333</v>
      </c>
      <c r="T27" s="4">
        <f t="shared" si="3"/>
        <v>167</v>
      </c>
      <c r="U27" s="5">
        <f t="shared" si="4"/>
        <v>3500</v>
      </c>
      <c r="W27" s="1"/>
      <c r="X27" s="2" t="s">
        <v>445</v>
      </c>
      <c r="Y27" s="2"/>
      <c r="Z27" s="2"/>
      <c r="AA27" s="2"/>
      <c r="AB27" s="3"/>
      <c r="AC27" s="3">
        <f t="shared" si="11"/>
        <v>0</v>
      </c>
      <c r="AD27" s="4">
        <f t="shared" si="12"/>
        <v>0</v>
      </c>
      <c r="AE27" s="4">
        <f t="shared" si="13"/>
        <v>0</v>
      </c>
      <c r="AF27" s="5">
        <f t="shared" si="14"/>
        <v>0</v>
      </c>
    </row>
    <row r="28" spans="1:32" x14ac:dyDescent="0.25">
      <c r="A28" s="1"/>
      <c r="B28" s="2" t="s">
        <v>505</v>
      </c>
      <c r="C28" s="2"/>
      <c r="D28" s="2"/>
      <c r="E28" s="2"/>
      <c r="F28" s="3"/>
      <c r="G28" s="3">
        <f t="shared" si="6"/>
        <v>0</v>
      </c>
      <c r="H28" s="4">
        <f t="shared" si="7"/>
        <v>0</v>
      </c>
      <c r="I28" s="4">
        <f t="shared" si="8"/>
        <v>0</v>
      </c>
      <c r="J28" s="5">
        <f t="shared" si="9"/>
        <v>0</v>
      </c>
      <c r="L28" s="6">
        <v>45809</v>
      </c>
      <c r="M28" s="2" t="s">
        <v>547</v>
      </c>
      <c r="N28" s="13" t="s">
        <v>602</v>
      </c>
      <c r="O28" s="13" t="s">
        <v>14</v>
      </c>
      <c r="P28" s="2">
        <v>1</v>
      </c>
      <c r="Q28" s="3">
        <v>2150</v>
      </c>
      <c r="R28" s="3">
        <f t="shared" si="10"/>
        <v>2150</v>
      </c>
      <c r="S28" s="4">
        <f t="shared" si="2"/>
        <v>2150</v>
      </c>
      <c r="T28" s="4">
        <f t="shared" si="3"/>
        <v>108</v>
      </c>
      <c r="U28" s="5">
        <f t="shared" si="4"/>
        <v>2258</v>
      </c>
      <c r="W28" s="1"/>
      <c r="X28" s="2" t="s">
        <v>446</v>
      </c>
      <c r="Y28" s="2"/>
      <c r="Z28" s="2"/>
      <c r="AA28" s="2"/>
      <c r="AB28" s="3"/>
      <c r="AC28" s="3">
        <f t="shared" si="11"/>
        <v>0</v>
      </c>
      <c r="AD28" s="4">
        <f t="shared" si="12"/>
        <v>0</v>
      </c>
      <c r="AE28" s="4">
        <f t="shared" si="13"/>
        <v>0</v>
      </c>
      <c r="AF28" s="5">
        <f t="shared" si="14"/>
        <v>0</v>
      </c>
    </row>
    <row r="29" spans="1:32" x14ac:dyDescent="0.25">
      <c r="A29" s="1"/>
      <c r="B29" s="2" t="s">
        <v>506</v>
      </c>
      <c r="C29" s="2"/>
      <c r="D29" s="2"/>
      <c r="E29" s="2"/>
      <c r="F29" s="3"/>
      <c r="G29" s="3">
        <f t="shared" si="6"/>
        <v>0</v>
      </c>
      <c r="H29" s="4">
        <f t="shared" si="7"/>
        <v>0</v>
      </c>
      <c r="I29" s="4">
        <f t="shared" si="8"/>
        <v>0</v>
      </c>
      <c r="J29" s="5">
        <f t="shared" si="9"/>
        <v>0</v>
      </c>
      <c r="L29" s="6">
        <v>45810</v>
      </c>
      <c r="M29" s="2" t="s">
        <v>548</v>
      </c>
      <c r="N29" s="13" t="s">
        <v>603</v>
      </c>
      <c r="O29" s="13" t="s">
        <v>14</v>
      </c>
      <c r="P29" s="2">
        <v>5</v>
      </c>
      <c r="Q29" s="3">
        <v>4780</v>
      </c>
      <c r="R29" s="3">
        <f t="shared" si="10"/>
        <v>23900</v>
      </c>
      <c r="S29" s="4">
        <f t="shared" si="2"/>
        <v>23900</v>
      </c>
      <c r="T29" s="4">
        <f t="shared" si="3"/>
        <v>1195</v>
      </c>
      <c r="U29" s="5">
        <f t="shared" si="4"/>
        <v>25095</v>
      </c>
      <c r="W29" s="1"/>
      <c r="X29" s="2" t="s">
        <v>447</v>
      </c>
      <c r="Y29" s="2"/>
      <c r="Z29" s="2"/>
      <c r="AA29" s="2"/>
      <c r="AB29" s="3"/>
      <c r="AC29" s="3">
        <f t="shared" si="11"/>
        <v>0</v>
      </c>
      <c r="AD29" s="4">
        <f t="shared" si="12"/>
        <v>0</v>
      </c>
      <c r="AE29" s="4">
        <f t="shared" si="13"/>
        <v>0</v>
      </c>
      <c r="AF29" s="5">
        <f t="shared" si="14"/>
        <v>0</v>
      </c>
    </row>
    <row r="30" spans="1:32" x14ac:dyDescent="0.25">
      <c r="A30" s="1"/>
      <c r="B30" s="2" t="s">
        <v>507</v>
      </c>
      <c r="C30" s="2"/>
      <c r="D30" s="2"/>
      <c r="E30" s="2"/>
      <c r="F30" s="3"/>
      <c r="G30" s="3">
        <f t="shared" si="6"/>
        <v>0</v>
      </c>
      <c r="H30" s="4">
        <f t="shared" si="7"/>
        <v>0</v>
      </c>
      <c r="I30" s="4">
        <f t="shared" si="8"/>
        <v>0</v>
      </c>
      <c r="J30" s="5">
        <f t="shared" si="9"/>
        <v>0</v>
      </c>
      <c r="L30" s="15" t="s">
        <v>604</v>
      </c>
      <c r="M30" s="2" t="s">
        <v>549</v>
      </c>
      <c r="N30" s="2"/>
      <c r="O30" s="2"/>
      <c r="P30" s="2"/>
      <c r="Q30" s="3"/>
      <c r="R30" s="3">
        <f t="shared" si="10"/>
        <v>0</v>
      </c>
      <c r="S30" s="4">
        <f t="shared" si="2"/>
        <v>0</v>
      </c>
      <c r="T30" s="4">
        <f t="shared" si="3"/>
        <v>0</v>
      </c>
      <c r="U30" s="5">
        <f t="shared" si="4"/>
        <v>0</v>
      </c>
      <c r="W30" s="1"/>
      <c r="X30" s="2" t="s">
        <v>448</v>
      </c>
      <c r="Y30" s="2"/>
      <c r="Z30" s="2"/>
      <c r="AA30" s="2"/>
      <c r="AB30" s="3"/>
      <c r="AC30" s="3">
        <f t="shared" si="11"/>
        <v>0</v>
      </c>
      <c r="AD30" s="4">
        <f t="shared" si="12"/>
        <v>0</v>
      </c>
      <c r="AE30" s="4">
        <f t="shared" si="13"/>
        <v>0</v>
      </c>
      <c r="AF30" s="5">
        <f t="shared" si="14"/>
        <v>0</v>
      </c>
    </row>
    <row r="31" spans="1:32" x14ac:dyDescent="0.25">
      <c r="A31" s="1"/>
      <c r="B31" s="2" t="s">
        <v>508</v>
      </c>
      <c r="C31" s="2"/>
      <c r="D31" s="2"/>
      <c r="E31" s="2"/>
      <c r="F31" s="3"/>
      <c r="G31" s="3">
        <f t="shared" si="6"/>
        <v>0</v>
      </c>
      <c r="H31" s="4">
        <f t="shared" si="7"/>
        <v>0</v>
      </c>
      <c r="I31" s="4">
        <f t="shared" si="8"/>
        <v>0</v>
      </c>
      <c r="J31" s="5">
        <f t="shared" si="9"/>
        <v>0</v>
      </c>
      <c r="L31" s="6">
        <v>45810</v>
      </c>
      <c r="M31" s="2" t="s">
        <v>550</v>
      </c>
      <c r="N31" s="13" t="s">
        <v>605</v>
      </c>
      <c r="O31" s="13" t="s">
        <v>15</v>
      </c>
      <c r="P31" s="2">
        <v>1</v>
      </c>
      <c r="Q31" s="3">
        <v>200</v>
      </c>
      <c r="R31" s="3">
        <f t="shared" si="10"/>
        <v>200</v>
      </c>
      <c r="S31" s="4">
        <f t="shared" si="2"/>
        <v>200</v>
      </c>
      <c r="T31" s="4">
        <f t="shared" si="3"/>
        <v>10</v>
      </c>
      <c r="U31" s="5">
        <f t="shared" si="4"/>
        <v>210</v>
      </c>
      <c r="W31" s="1"/>
      <c r="X31" s="2" t="s">
        <v>449</v>
      </c>
      <c r="Y31" s="2"/>
      <c r="Z31" s="2"/>
      <c r="AA31" s="2"/>
      <c r="AB31" s="3"/>
      <c r="AC31" s="3">
        <f t="shared" si="11"/>
        <v>0</v>
      </c>
      <c r="AD31" s="4">
        <f t="shared" si="12"/>
        <v>0</v>
      </c>
      <c r="AE31" s="4">
        <f t="shared" si="13"/>
        <v>0</v>
      </c>
      <c r="AF31" s="5">
        <f t="shared" si="14"/>
        <v>0</v>
      </c>
    </row>
    <row r="32" spans="1:32" x14ac:dyDescent="0.25">
      <c r="A32" s="1"/>
      <c r="B32" s="2" t="s">
        <v>509</v>
      </c>
      <c r="C32" s="2"/>
      <c r="D32" s="2"/>
      <c r="E32" s="2"/>
      <c r="F32" s="3"/>
      <c r="G32" s="3">
        <f t="shared" si="6"/>
        <v>0</v>
      </c>
      <c r="H32" s="4">
        <f t="shared" si="7"/>
        <v>0</v>
      </c>
      <c r="I32" s="4">
        <f t="shared" si="8"/>
        <v>0</v>
      </c>
      <c r="J32" s="5">
        <f t="shared" si="9"/>
        <v>0</v>
      </c>
      <c r="L32" s="6">
        <v>45810</v>
      </c>
      <c r="M32" s="2" t="s">
        <v>551</v>
      </c>
      <c r="N32" s="13" t="s">
        <v>606</v>
      </c>
      <c r="O32" s="13" t="s">
        <v>14</v>
      </c>
      <c r="P32" s="2">
        <v>2</v>
      </c>
      <c r="Q32" s="3">
        <v>4952</v>
      </c>
      <c r="R32" s="3">
        <f t="shared" si="10"/>
        <v>9904</v>
      </c>
      <c r="S32" s="4">
        <f t="shared" si="2"/>
        <v>9904</v>
      </c>
      <c r="T32" s="4">
        <f t="shared" si="3"/>
        <v>495</v>
      </c>
      <c r="U32" s="5">
        <f t="shared" si="4"/>
        <v>10399</v>
      </c>
      <c r="W32" s="1"/>
      <c r="X32" s="2" t="s">
        <v>450</v>
      </c>
      <c r="Y32" s="2"/>
      <c r="Z32" s="2"/>
      <c r="AA32" s="2"/>
      <c r="AB32" s="3"/>
      <c r="AC32" s="3">
        <f t="shared" si="11"/>
        <v>0</v>
      </c>
      <c r="AD32" s="4">
        <f t="shared" si="12"/>
        <v>0</v>
      </c>
      <c r="AE32" s="4">
        <f t="shared" si="13"/>
        <v>0</v>
      </c>
      <c r="AF32" s="5">
        <f t="shared" si="14"/>
        <v>0</v>
      </c>
    </row>
    <row r="33" spans="1:32" x14ac:dyDescent="0.25">
      <c r="A33" s="1"/>
      <c r="B33" s="2" t="s">
        <v>510</v>
      </c>
      <c r="C33" s="2"/>
      <c r="D33" s="2"/>
      <c r="E33" s="2"/>
      <c r="F33" s="3"/>
      <c r="G33" s="3">
        <f t="shared" si="6"/>
        <v>0</v>
      </c>
      <c r="H33" s="4">
        <f t="shared" si="7"/>
        <v>0</v>
      </c>
      <c r="I33" s="4">
        <f t="shared" si="8"/>
        <v>0</v>
      </c>
      <c r="J33" s="5">
        <f t="shared" si="9"/>
        <v>0</v>
      </c>
      <c r="L33" s="6">
        <v>45814</v>
      </c>
      <c r="M33" s="2" t="s">
        <v>552</v>
      </c>
      <c r="N33" s="13" t="s">
        <v>607</v>
      </c>
      <c r="O33" s="13" t="s">
        <v>14</v>
      </c>
      <c r="P33" s="2">
        <v>1</v>
      </c>
      <c r="Q33" s="3">
        <v>4100</v>
      </c>
      <c r="R33" s="3">
        <f t="shared" si="10"/>
        <v>4100</v>
      </c>
      <c r="S33" s="4">
        <f t="shared" si="2"/>
        <v>4100</v>
      </c>
      <c r="T33" s="4">
        <f t="shared" si="3"/>
        <v>205</v>
      </c>
      <c r="U33" s="5">
        <f t="shared" si="4"/>
        <v>4305</v>
      </c>
      <c r="W33" s="1"/>
      <c r="X33" s="2" t="s">
        <v>451</v>
      </c>
      <c r="Y33" s="2"/>
      <c r="Z33" s="2"/>
      <c r="AA33" s="2"/>
      <c r="AB33" s="3"/>
      <c r="AC33" s="3">
        <f t="shared" si="11"/>
        <v>0</v>
      </c>
      <c r="AD33" s="4">
        <f t="shared" si="12"/>
        <v>0</v>
      </c>
      <c r="AE33" s="4">
        <f t="shared" si="13"/>
        <v>0</v>
      </c>
      <c r="AF33" s="5">
        <f t="shared" si="14"/>
        <v>0</v>
      </c>
    </row>
    <row r="34" spans="1:32" x14ac:dyDescent="0.25">
      <c r="A34" s="1"/>
      <c r="B34" s="2" t="s">
        <v>511</v>
      </c>
      <c r="C34" s="2"/>
      <c r="D34" s="2"/>
      <c r="E34" s="2"/>
      <c r="F34" s="3"/>
      <c r="G34" s="3">
        <f t="shared" si="6"/>
        <v>0</v>
      </c>
      <c r="H34" s="4">
        <f t="shared" si="7"/>
        <v>0</v>
      </c>
      <c r="I34" s="4">
        <f t="shared" si="8"/>
        <v>0</v>
      </c>
      <c r="J34" s="5">
        <f t="shared" si="9"/>
        <v>0</v>
      </c>
      <c r="L34" s="6">
        <v>45814</v>
      </c>
      <c r="M34" s="2" t="s">
        <v>553</v>
      </c>
      <c r="N34" s="13" t="s">
        <v>608</v>
      </c>
      <c r="O34" s="13" t="s">
        <v>14</v>
      </c>
      <c r="P34" s="2">
        <v>1</v>
      </c>
      <c r="Q34" s="3">
        <v>3800</v>
      </c>
      <c r="R34" s="3">
        <f t="shared" si="10"/>
        <v>3800</v>
      </c>
      <c r="S34" s="4">
        <f t="shared" si="2"/>
        <v>3800</v>
      </c>
      <c r="T34" s="4">
        <f t="shared" si="3"/>
        <v>190</v>
      </c>
      <c r="U34" s="5">
        <f t="shared" si="4"/>
        <v>3990</v>
      </c>
      <c r="W34" s="1"/>
      <c r="X34" s="2" t="s">
        <v>452</v>
      </c>
      <c r="Y34" s="2"/>
      <c r="Z34" s="2"/>
      <c r="AA34" s="2"/>
      <c r="AB34" s="3"/>
      <c r="AC34" s="3">
        <f t="shared" si="11"/>
        <v>0</v>
      </c>
      <c r="AD34" s="4">
        <f t="shared" si="12"/>
        <v>0</v>
      </c>
      <c r="AE34" s="4">
        <f t="shared" si="13"/>
        <v>0</v>
      </c>
      <c r="AF34" s="5">
        <f t="shared" si="14"/>
        <v>0</v>
      </c>
    </row>
    <row r="35" spans="1:32" x14ac:dyDescent="0.25">
      <c r="A35" s="1"/>
      <c r="B35" s="2" t="s">
        <v>512</v>
      </c>
      <c r="C35" s="2"/>
      <c r="D35" s="2"/>
      <c r="E35" s="2"/>
      <c r="F35" s="3"/>
      <c r="G35" s="3">
        <f t="shared" si="6"/>
        <v>0</v>
      </c>
      <c r="H35" s="4">
        <f t="shared" si="7"/>
        <v>0</v>
      </c>
      <c r="I35" s="4">
        <f t="shared" si="8"/>
        <v>0</v>
      </c>
      <c r="J35" s="5">
        <f t="shared" si="9"/>
        <v>0</v>
      </c>
      <c r="L35" s="6">
        <v>45814</v>
      </c>
      <c r="M35" s="2" t="s">
        <v>554</v>
      </c>
      <c r="N35" s="13" t="s">
        <v>609</v>
      </c>
      <c r="O35" s="13" t="s">
        <v>15</v>
      </c>
      <c r="P35" s="2">
        <v>1</v>
      </c>
      <c r="Q35" s="3">
        <v>500</v>
      </c>
      <c r="R35" s="3">
        <f t="shared" si="10"/>
        <v>500</v>
      </c>
      <c r="S35" s="4">
        <f t="shared" si="2"/>
        <v>500</v>
      </c>
      <c r="T35" s="4">
        <f t="shared" si="3"/>
        <v>25</v>
      </c>
      <c r="U35" s="5">
        <f t="shared" si="4"/>
        <v>525</v>
      </c>
      <c r="W35" s="1"/>
      <c r="X35" s="2" t="s">
        <v>453</v>
      </c>
      <c r="Y35" s="2"/>
      <c r="Z35" s="2"/>
      <c r="AA35" s="2"/>
      <c r="AB35" s="3"/>
      <c r="AC35" s="3">
        <f t="shared" si="11"/>
        <v>0</v>
      </c>
      <c r="AD35" s="4">
        <f t="shared" si="12"/>
        <v>0</v>
      </c>
      <c r="AE35" s="4">
        <f t="shared" si="13"/>
        <v>0</v>
      </c>
      <c r="AF35" s="5">
        <f t="shared" si="14"/>
        <v>0</v>
      </c>
    </row>
    <row r="36" spans="1:32" x14ac:dyDescent="0.25">
      <c r="A36" s="1"/>
      <c r="B36" s="2" t="s">
        <v>513</v>
      </c>
      <c r="C36" s="2"/>
      <c r="D36" s="2"/>
      <c r="E36" s="2"/>
      <c r="F36" s="3"/>
      <c r="G36" s="3">
        <f t="shared" si="6"/>
        <v>0</v>
      </c>
      <c r="H36" s="4">
        <f t="shared" si="7"/>
        <v>0</v>
      </c>
      <c r="I36" s="4">
        <f t="shared" si="8"/>
        <v>0</v>
      </c>
      <c r="J36" s="5">
        <f t="shared" si="9"/>
        <v>0</v>
      </c>
      <c r="L36" s="31">
        <v>45818</v>
      </c>
      <c r="M36" s="34" t="s">
        <v>610</v>
      </c>
      <c r="N36" s="37" t="s">
        <v>611</v>
      </c>
      <c r="O36" s="13" t="s">
        <v>14</v>
      </c>
      <c r="P36" s="2">
        <v>1</v>
      </c>
      <c r="Q36" s="3">
        <v>5880</v>
      </c>
      <c r="R36" s="16">
        <f t="shared" si="10"/>
        <v>5880</v>
      </c>
      <c r="S36" s="38">
        <f>R36+R37</f>
        <v>8980</v>
      </c>
      <c r="T36" s="38">
        <f t="shared" si="3"/>
        <v>449</v>
      </c>
      <c r="U36" s="41">
        <f t="shared" si="4"/>
        <v>9429</v>
      </c>
      <c r="W36" s="1"/>
      <c r="X36" s="2" t="s">
        <v>454</v>
      </c>
      <c r="Y36" s="2"/>
      <c r="Z36" s="2"/>
      <c r="AA36" s="2"/>
      <c r="AB36" s="3"/>
      <c r="AC36" s="3">
        <f t="shared" si="11"/>
        <v>0</v>
      </c>
      <c r="AD36" s="4">
        <f t="shared" si="12"/>
        <v>0</v>
      </c>
      <c r="AE36" s="4">
        <f t="shared" si="13"/>
        <v>0</v>
      </c>
      <c r="AF36" s="5">
        <f t="shared" si="14"/>
        <v>0</v>
      </c>
    </row>
    <row r="37" spans="1:32" x14ac:dyDescent="0.25">
      <c r="A37" s="1"/>
      <c r="B37" s="2" t="s">
        <v>514</v>
      </c>
      <c r="C37" s="2"/>
      <c r="D37" s="2"/>
      <c r="E37" s="2"/>
      <c r="F37" s="3"/>
      <c r="G37" s="3">
        <f t="shared" si="6"/>
        <v>0</v>
      </c>
      <c r="H37" s="4">
        <f t="shared" si="7"/>
        <v>0</v>
      </c>
      <c r="I37" s="4">
        <f t="shared" si="8"/>
        <v>0</v>
      </c>
      <c r="J37" s="5">
        <f t="shared" si="9"/>
        <v>0</v>
      </c>
      <c r="L37" s="33"/>
      <c r="M37" s="36"/>
      <c r="N37" s="36"/>
      <c r="O37" s="13" t="s">
        <v>16</v>
      </c>
      <c r="P37" s="2">
        <v>1</v>
      </c>
      <c r="Q37" s="3">
        <v>3100</v>
      </c>
      <c r="R37" s="16">
        <f t="shared" si="10"/>
        <v>3100</v>
      </c>
      <c r="S37" s="40"/>
      <c r="T37" s="40"/>
      <c r="U37" s="43"/>
      <c r="W37" s="1"/>
      <c r="X37" s="2" t="s">
        <v>455</v>
      </c>
      <c r="Y37" s="2"/>
      <c r="Z37" s="2"/>
      <c r="AA37" s="2"/>
      <c r="AB37" s="3"/>
      <c r="AC37" s="3">
        <f t="shared" si="11"/>
        <v>0</v>
      </c>
      <c r="AD37" s="4">
        <f t="shared" si="12"/>
        <v>0</v>
      </c>
      <c r="AE37" s="4">
        <f t="shared" si="13"/>
        <v>0</v>
      </c>
      <c r="AF37" s="5">
        <f t="shared" si="14"/>
        <v>0</v>
      </c>
    </row>
    <row r="38" spans="1:32" x14ac:dyDescent="0.25">
      <c r="A38" s="1"/>
      <c r="B38" s="2" t="s">
        <v>515</v>
      </c>
      <c r="C38" s="2"/>
      <c r="D38" s="2"/>
      <c r="E38" s="2"/>
      <c r="F38" s="3"/>
      <c r="G38" s="3">
        <f t="shared" si="6"/>
        <v>0</v>
      </c>
      <c r="H38" s="4">
        <f t="shared" si="7"/>
        <v>0</v>
      </c>
      <c r="I38" s="4">
        <f t="shared" si="8"/>
        <v>0</v>
      </c>
      <c r="J38" s="5">
        <f t="shared" si="9"/>
        <v>0</v>
      </c>
      <c r="L38" s="6">
        <v>45819</v>
      </c>
      <c r="M38" s="2" t="s">
        <v>555</v>
      </c>
      <c r="N38" s="13" t="s">
        <v>599</v>
      </c>
      <c r="O38" s="13" t="s">
        <v>209</v>
      </c>
      <c r="P38" s="2"/>
      <c r="Q38" s="3"/>
      <c r="R38" s="3">
        <f t="shared" si="10"/>
        <v>0</v>
      </c>
      <c r="S38" s="4">
        <v>36400</v>
      </c>
      <c r="T38" s="4">
        <f t="shared" si="3"/>
        <v>1820</v>
      </c>
      <c r="U38" s="5">
        <f t="shared" si="4"/>
        <v>38220</v>
      </c>
      <c r="W38" s="1"/>
      <c r="X38" s="2" t="s">
        <v>456</v>
      </c>
      <c r="Y38" s="2"/>
      <c r="Z38" s="2"/>
      <c r="AA38" s="2"/>
      <c r="AB38" s="3"/>
      <c r="AC38" s="3">
        <f t="shared" si="11"/>
        <v>0</v>
      </c>
      <c r="AD38" s="4">
        <f t="shared" si="12"/>
        <v>0</v>
      </c>
      <c r="AE38" s="4">
        <f t="shared" si="13"/>
        <v>0</v>
      </c>
      <c r="AF38" s="5">
        <f t="shared" si="14"/>
        <v>0</v>
      </c>
    </row>
    <row r="39" spans="1:32" x14ac:dyDescent="0.25">
      <c r="A39" s="1"/>
      <c r="B39" s="2" t="s">
        <v>516</v>
      </c>
      <c r="C39" s="2"/>
      <c r="D39" s="2"/>
      <c r="E39" s="2"/>
      <c r="F39" s="3"/>
      <c r="G39" s="3">
        <f t="shared" si="6"/>
        <v>0</v>
      </c>
      <c r="H39" s="4">
        <f t="shared" si="7"/>
        <v>0</v>
      </c>
      <c r="I39" s="4">
        <f t="shared" si="8"/>
        <v>0</v>
      </c>
      <c r="J39" s="5">
        <f t="shared" si="9"/>
        <v>0</v>
      </c>
      <c r="L39" s="6">
        <v>45819</v>
      </c>
      <c r="M39" s="2" t="s">
        <v>556</v>
      </c>
      <c r="N39" s="13" t="s">
        <v>612</v>
      </c>
      <c r="O39" s="13" t="s">
        <v>613</v>
      </c>
      <c r="P39" s="2">
        <v>1</v>
      </c>
      <c r="Q39" s="3">
        <v>800</v>
      </c>
      <c r="R39" s="3">
        <f t="shared" si="10"/>
        <v>800</v>
      </c>
      <c r="S39" s="4">
        <f t="shared" si="2"/>
        <v>800</v>
      </c>
      <c r="T39" s="4">
        <f t="shared" si="3"/>
        <v>40</v>
      </c>
      <c r="U39" s="5">
        <f t="shared" si="4"/>
        <v>840</v>
      </c>
      <c r="W39" s="1"/>
      <c r="X39" s="2" t="s">
        <v>457</v>
      </c>
      <c r="Y39" s="2"/>
      <c r="Z39" s="2"/>
      <c r="AA39" s="2"/>
      <c r="AB39" s="3"/>
      <c r="AC39" s="3">
        <f t="shared" si="11"/>
        <v>0</v>
      </c>
      <c r="AD39" s="4">
        <f t="shared" si="12"/>
        <v>0</v>
      </c>
      <c r="AE39" s="4">
        <f t="shared" si="13"/>
        <v>0</v>
      </c>
      <c r="AF39" s="5">
        <f t="shared" si="14"/>
        <v>0</v>
      </c>
    </row>
    <row r="40" spans="1:32" x14ac:dyDescent="0.25">
      <c r="A40" s="1"/>
      <c r="B40" s="2" t="s">
        <v>517</v>
      </c>
      <c r="C40" s="2"/>
      <c r="D40" s="2"/>
      <c r="E40" s="2"/>
      <c r="F40" s="3"/>
      <c r="G40" s="3">
        <f t="shared" si="6"/>
        <v>0</v>
      </c>
      <c r="H40" s="4">
        <f t="shared" si="7"/>
        <v>0</v>
      </c>
      <c r="I40" s="4">
        <f t="shared" si="8"/>
        <v>0</v>
      </c>
      <c r="J40" s="5">
        <f t="shared" si="9"/>
        <v>0</v>
      </c>
      <c r="L40" s="6">
        <v>45820</v>
      </c>
      <c r="M40" s="2" t="s">
        <v>557</v>
      </c>
      <c r="N40" s="13" t="s">
        <v>191</v>
      </c>
      <c r="O40" s="13" t="s">
        <v>14</v>
      </c>
      <c r="P40" s="2">
        <v>250</v>
      </c>
      <c r="Q40" s="3">
        <v>2050.6</v>
      </c>
      <c r="R40" s="3">
        <f t="shared" si="10"/>
        <v>512650</v>
      </c>
      <c r="S40" s="4">
        <f t="shared" si="2"/>
        <v>512650</v>
      </c>
      <c r="T40" s="4">
        <f t="shared" si="3"/>
        <v>25633</v>
      </c>
      <c r="U40" s="5">
        <f t="shared" si="4"/>
        <v>538283</v>
      </c>
      <c r="W40" s="1"/>
      <c r="X40" s="2" t="s">
        <v>458</v>
      </c>
      <c r="Y40" s="2"/>
      <c r="Z40" s="2"/>
      <c r="AA40" s="2"/>
      <c r="AB40" s="3"/>
      <c r="AC40" s="3">
        <f t="shared" si="11"/>
        <v>0</v>
      </c>
      <c r="AD40" s="4">
        <f t="shared" si="12"/>
        <v>0</v>
      </c>
      <c r="AE40" s="4">
        <f t="shared" si="13"/>
        <v>0</v>
      </c>
      <c r="AF40" s="5">
        <f t="shared" si="14"/>
        <v>0</v>
      </c>
    </row>
    <row r="41" spans="1:32" x14ac:dyDescent="0.25">
      <c r="A41" s="1"/>
      <c r="B41" s="2" t="s">
        <v>518</v>
      </c>
      <c r="C41" s="2"/>
      <c r="D41" s="2"/>
      <c r="E41" s="2"/>
      <c r="F41" s="3"/>
      <c r="G41" s="3">
        <f t="shared" si="6"/>
        <v>0</v>
      </c>
      <c r="H41" s="4">
        <f t="shared" si="7"/>
        <v>0</v>
      </c>
      <c r="I41" s="4">
        <f t="shared" si="8"/>
        <v>0</v>
      </c>
      <c r="J41" s="5">
        <f t="shared" si="9"/>
        <v>0</v>
      </c>
      <c r="L41" s="31">
        <v>45820</v>
      </c>
      <c r="M41" s="34" t="s">
        <v>614</v>
      </c>
      <c r="N41" s="37" t="s">
        <v>615</v>
      </c>
      <c r="O41" s="13" t="s">
        <v>14</v>
      </c>
      <c r="P41" s="2">
        <v>2</v>
      </c>
      <c r="Q41" s="3">
        <v>4400</v>
      </c>
      <c r="R41" s="4">
        <f t="shared" si="10"/>
        <v>8800</v>
      </c>
      <c r="S41" s="38">
        <f>R41+R42+R43</f>
        <v>14600</v>
      </c>
      <c r="T41" s="38">
        <f t="shared" si="3"/>
        <v>730</v>
      </c>
      <c r="U41" s="41">
        <f t="shared" si="4"/>
        <v>15330</v>
      </c>
      <c r="W41" s="1"/>
      <c r="X41" s="2" t="s">
        <v>459</v>
      </c>
      <c r="Y41" s="2"/>
      <c r="Z41" s="2"/>
      <c r="AA41" s="2"/>
      <c r="AB41" s="3"/>
      <c r="AC41" s="3">
        <f t="shared" si="11"/>
        <v>0</v>
      </c>
      <c r="AD41" s="4">
        <f t="shared" si="12"/>
        <v>0</v>
      </c>
      <c r="AE41" s="4">
        <f t="shared" si="13"/>
        <v>0</v>
      </c>
      <c r="AF41" s="5">
        <f t="shared" si="14"/>
        <v>0</v>
      </c>
    </row>
    <row r="42" spans="1:32" x14ac:dyDescent="0.25">
      <c r="A42" s="1"/>
      <c r="B42" s="2" t="s">
        <v>519</v>
      </c>
      <c r="C42" s="2"/>
      <c r="D42" s="2"/>
      <c r="E42" s="2"/>
      <c r="F42" s="3"/>
      <c r="G42" s="3">
        <f t="shared" si="6"/>
        <v>0</v>
      </c>
      <c r="H42" s="4">
        <f t="shared" si="7"/>
        <v>0</v>
      </c>
      <c r="I42" s="4">
        <f t="shared" si="8"/>
        <v>0</v>
      </c>
      <c r="J42" s="5">
        <f t="shared" si="9"/>
        <v>0</v>
      </c>
      <c r="L42" s="32"/>
      <c r="M42" s="35"/>
      <c r="N42" s="35"/>
      <c r="O42" s="13" t="s">
        <v>16</v>
      </c>
      <c r="P42" s="2">
        <v>2</v>
      </c>
      <c r="Q42" s="3">
        <v>2650</v>
      </c>
      <c r="R42" s="4">
        <f t="shared" si="10"/>
        <v>5300</v>
      </c>
      <c r="S42" s="39"/>
      <c r="T42" s="39"/>
      <c r="U42" s="42"/>
      <c r="W42" s="1"/>
      <c r="X42" s="2" t="s">
        <v>460</v>
      </c>
      <c r="Y42" s="2"/>
      <c r="Z42" s="2"/>
      <c r="AA42" s="2"/>
      <c r="AB42" s="3"/>
      <c r="AC42" s="3">
        <f t="shared" si="11"/>
        <v>0</v>
      </c>
      <c r="AD42" s="4">
        <f t="shared" si="12"/>
        <v>0</v>
      </c>
      <c r="AE42" s="4">
        <f t="shared" si="13"/>
        <v>0</v>
      </c>
      <c r="AF42" s="5">
        <f t="shared" si="14"/>
        <v>0</v>
      </c>
    </row>
    <row r="43" spans="1:32" x14ac:dyDescent="0.25">
      <c r="A43" s="1"/>
      <c r="B43" s="2" t="s">
        <v>520</v>
      </c>
      <c r="C43" s="2"/>
      <c r="D43" s="2"/>
      <c r="E43" s="2"/>
      <c r="F43" s="3"/>
      <c r="G43" s="3">
        <f t="shared" si="6"/>
        <v>0</v>
      </c>
      <c r="H43" s="4">
        <f t="shared" si="7"/>
        <v>0</v>
      </c>
      <c r="I43" s="4">
        <f t="shared" si="8"/>
        <v>0</v>
      </c>
      <c r="J43" s="5">
        <f t="shared" si="9"/>
        <v>0</v>
      </c>
      <c r="L43" s="33"/>
      <c r="M43" s="36"/>
      <c r="N43" s="36"/>
      <c r="O43" s="13" t="s">
        <v>15</v>
      </c>
      <c r="P43" s="2">
        <v>1</v>
      </c>
      <c r="Q43" s="3">
        <v>500</v>
      </c>
      <c r="R43" s="4">
        <f t="shared" si="10"/>
        <v>500</v>
      </c>
      <c r="S43" s="40"/>
      <c r="T43" s="40"/>
      <c r="U43" s="43"/>
      <c r="W43" s="1"/>
      <c r="X43" s="2" t="s">
        <v>461</v>
      </c>
      <c r="Y43" s="2"/>
      <c r="Z43" s="2"/>
      <c r="AA43" s="2"/>
      <c r="AB43" s="3"/>
      <c r="AC43" s="3">
        <f t="shared" si="11"/>
        <v>0</v>
      </c>
      <c r="AD43" s="4">
        <f t="shared" si="12"/>
        <v>0</v>
      </c>
      <c r="AE43" s="4">
        <f t="shared" si="13"/>
        <v>0</v>
      </c>
      <c r="AF43" s="5">
        <f t="shared" si="14"/>
        <v>0</v>
      </c>
    </row>
    <row r="44" spans="1:32" x14ac:dyDescent="0.25">
      <c r="A44" s="1"/>
      <c r="B44" s="2" t="s">
        <v>521</v>
      </c>
      <c r="C44" s="2"/>
      <c r="D44" s="2"/>
      <c r="E44" s="2"/>
      <c r="F44" s="3"/>
      <c r="G44" s="3">
        <f t="shared" si="6"/>
        <v>0</v>
      </c>
      <c r="H44" s="4">
        <f t="shared" si="7"/>
        <v>0</v>
      </c>
      <c r="I44" s="4">
        <f t="shared" si="8"/>
        <v>0</v>
      </c>
      <c r="J44" s="5">
        <f t="shared" si="9"/>
        <v>0</v>
      </c>
      <c r="L44" s="1"/>
      <c r="M44" s="2" t="s">
        <v>558</v>
      </c>
      <c r="N44" s="2"/>
      <c r="O44" s="2"/>
      <c r="P44" s="2"/>
      <c r="Q44" s="3"/>
      <c r="R44" s="3">
        <f t="shared" si="10"/>
        <v>0</v>
      </c>
      <c r="S44" s="4">
        <f t="shared" si="2"/>
        <v>0</v>
      </c>
      <c r="T44" s="4">
        <f t="shared" si="3"/>
        <v>0</v>
      </c>
      <c r="U44" s="5">
        <f t="shared" si="4"/>
        <v>0</v>
      </c>
      <c r="W44" s="1"/>
      <c r="X44" s="2" t="s">
        <v>462</v>
      </c>
      <c r="Y44" s="2"/>
      <c r="Z44" s="2"/>
      <c r="AA44" s="2"/>
      <c r="AB44" s="3"/>
      <c r="AC44" s="3">
        <f t="shared" si="11"/>
        <v>0</v>
      </c>
      <c r="AD44" s="4">
        <f t="shared" si="12"/>
        <v>0</v>
      </c>
      <c r="AE44" s="4">
        <f t="shared" si="13"/>
        <v>0</v>
      </c>
      <c r="AF44" s="5">
        <f t="shared" si="14"/>
        <v>0</v>
      </c>
    </row>
    <row r="45" spans="1:32" x14ac:dyDescent="0.25">
      <c r="A45" s="1"/>
      <c r="B45" s="2" t="s">
        <v>522</v>
      </c>
      <c r="C45" s="2"/>
      <c r="D45" s="2"/>
      <c r="E45" s="2"/>
      <c r="F45" s="3"/>
      <c r="G45" s="3">
        <f t="shared" si="6"/>
        <v>0</v>
      </c>
      <c r="H45" s="4">
        <f t="shared" si="7"/>
        <v>0</v>
      </c>
      <c r="I45" s="4">
        <f t="shared" si="8"/>
        <v>0</v>
      </c>
      <c r="J45" s="5">
        <f t="shared" si="9"/>
        <v>0</v>
      </c>
      <c r="L45" s="1"/>
      <c r="M45" s="2" t="s">
        <v>559</v>
      </c>
      <c r="N45" s="2"/>
      <c r="O45" s="2"/>
      <c r="P45" s="2"/>
      <c r="Q45" s="3"/>
      <c r="R45" s="3">
        <f t="shared" si="10"/>
        <v>0</v>
      </c>
      <c r="S45" s="4">
        <f t="shared" si="2"/>
        <v>0</v>
      </c>
      <c r="T45" s="4">
        <f t="shared" si="3"/>
        <v>0</v>
      </c>
      <c r="U45" s="5">
        <f t="shared" si="4"/>
        <v>0</v>
      </c>
      <c r="W45" s="1"/>
      <c r="X45" s="2" t="s">
        <v>463</v>
      </c>
      <c r="Y45" s="2"/>
      <c r="Z45" s="2"/>
      <c r="AA45" s="2"/>
      <c r="AB45" s="3"/>
      <c r="AC45" s="3">
        <f t="shared" si="11"/>
        <v>0</v>
      </c>
      <c r="AD45" s="4">
        <f t="shared" si="12"/>
        <v>0</v>
      </c>
      <c r="AE45" s="4">
        <f t="shared" si="13"/>
        <v>0</v>
      </c>
      <c r="AF45" s="5">
        <f t="shared" si="14"/>
        <v>0</v>
      </c>
    </row>
    <row r="46" spans="1:32" x14ac:dyDescent="0.25">
      <c r="A46" s="1"/>
      <c r="B46" s="2" t="s">
        <v>523</v>
      </c>
      <c r="C46" s="2"/>
      <c r="D46" s="2"/>
      <c r="E46" s="2"/>
      <c r="F46" s="3"/>
      <c r="G46" s="3">
        <f t="shared" si="6"/>
        <v>0</v>
      </c>
      <c r="H46" s="4">
        <f t="shared" si="7"/>
        <v>0</v>
      </c>
      <c r="I46" s="4">
        <f t="shared" si="8"/>
        <v>0</v>
      </c>
      <c r="J46" s="5">
        <f t="shared" si="9"/>
        <v>0</v>
      </c>
      <c r="L46" s="1"/>
      <c r="M46" s="2" t="s">
        <v>560</v>
      </c>
      <c r="N46" s="2"/>
      <c r="O46" s="2"/>
      <c r="P46" s="2"/>
      <c r="Q46" s="3"/>
      <c r="R46" s="3">
        <f t="shared" si="10"/>
        <v>0</v>
      </c>
      <c r="S46" s="4">
        <f t="shared" si="2"/>
        <v>0</v>
      </c>
      <c r="T46" s="4">
        <f t="shared" si="3"/>
        <v>0</v>
      </c>
      <c r="U46" s="5">
        <f t="shared" si="4"/>
        <v>0</v>
      </c>
      <c r="W46" s="1"/>
      <c r="X46" s="2" t="s">
        <v>464</v>
      </c>
      <c r="Y46" s="2"/>
      <c r="Z46" s="2"/>
      <c r="AA46" s="2"/>
      <c r="AB46" s="3"/>
      <c r="AC46" s="3">
        <f t="shared" si="11"/>
        <v>0</v>
      </c>
      <c r="AD46" s="4">
        <f t="shared" si="12"/>
        <v>0</v>
      </c>
      <c r="AE46" s="4">
        <f t="shared" si="13"/>
        <v>0</v>
      </c>
      <c r="AF46" s="5">
        <f t="shared" si="14"/>
        <v>0</v>
      </c>
    </row>
    <row r="47" spans="1:32" x14ac:dyDescent="0.25">
      <c r="A47" s="1"/>
      <c r="B47" s="2" t="s">
        <v>524</v>
      </c>
      <c r="C47" s="2"/>
      <c r="D47" s="2"/>
      <c r="E47" s="2"/>
      <c r="F47" s="3"/>
      <c r="G47" s="3">
        <f t="shared" si="6"/>
        <v>0</v>
      </c>
      <c r="H47" s="4">
        <f t="shared" si="7"/>
        <v>0</v>
      </c>
      <c r="I47" s="4">
        <f t="shared" si="8"/>
        <v>0</v>
      </c>
      <c r="J47" s="5">
        <f t="shared" si="9"/>
        <v>0</v>
      </c>
      <c r="L47" s="1"/>
      <c r="M47" s="2" t="s">
        <v>561</v>
      </c>
      <c r="N47" s="2"/>
      <c r="O47" s="2"/>
      <c r="P47" s="2"/>
      <c r="Q47" s="3"/>
      <c r="R47" s="3">
        <f t="shared" si="10"/>
        <v>0</v>
      </c>
      <c r="S47" s="4">
        <f t="shared" si="2"/>
        <v>0</v>
      </c>
      <c r="T47" s="4">
        <f t="shared" si="3"/>
        <v>0</v>
      </c>
      <c r="U47" s="5">
        <f t="shared" si="4"/>
        <v>0</v>
      </c>
      <c r="W47" s="1"/>
      <c r="X47" s="2" t="s">
        <v>465</v>
      </c>
      <c r="Y47" s="2"/>
      <c r="Z47" s="2"/>
      <c r="AA47" s="2"/>
      <c r="AB47" s="3"/>
      <c r="AC47" s="3">
        <f t="shared" si="11"/>
        <v>0</v>
      </c>
      <c r="AD47" s="4">
        <f t="shared" si="12"/>
        <v>0</v>
      </c>
      <c r="AE47" s="4">
        <f t="shared" si="13"/>
        <v>0</v>
      </c>
      <c r="AF47" s="5">
        <f t="shared" si="14"/>
        <v>0</v>
      </c>
    </row>
    <row r="48" spans="1:32" x14ac:dyDescent="0.25">
      <c r="A48" s="1"/>
      <c r="B48" s="2" t="s">
        <v>525</v>
      </c>
      <c r="C48" s="2"/>
      <c r="D48" s="2"/>
      <c r="E48" s="2"/>
      <c r="F48" s="3"/>
      <c r="G48" s="3">
        <f t="shared" si="6"/>
        <v>0</v>
      </c>
      <c r="H48" s="4">
        <f t="shared" si="7"/>
        <v>0</v>
      </c>
      <c r="I48" s="4">
        <f t="shared" si="8"/>
        <v>0</v>
      </c>
      <c r="J48" s="5">
        <f t="shared" si="9"/>
        <v>0</v>
      </c>
      <c r="L48" s="1"/>
      <c r="M48" s="2" t="s">
        <v>562</v>
      </c>
      <c r="N48" s="2"/>
      <c r="O48" s="2"/>
      <c r="P48" s="2"/>
      <c r="Q48" s="3"/>
      <c r="R48" s="3">
        <f t="shared" si="10"/>
        <v>0</v>
      </c>
      <c r="S48" s="4">
        <f t="shared" si="2"/>
        <v>0</v>
      </c>
      <c r="T48" s="4">
        <f t="shared" si="3"/>
        <v>0</v>
      </c>
      <c r="U48" s="5">
        <f t="shared" si="4"/>
        <v>0</v>
      </c>
      <c r="W48" s="1"/>
      <c r="X48" s="2" t="s">
        <v>466</v>
      </c>
      <c r="Y48" s="2"/>
      <c r="Z48" s="2"/>
      <c r="AA48" s="2"/>
      <c r="AB48" s="3"/>
      <c r="AC48" s="3">
        <f t="shared" si="11"/>
        <v>0</v>
      </c>
      <c r="AD48" s="4">
        <f t="shared" si="12"/>
        <v>0</v>
      </c>
      <c r="AE48" s="4">
        <f t="shared" si="13"/>
        <v>0</v>
      </c>
      <c r="AF48" s="5">
        <f t="shared" si="14"/>
        <v>0</v>
      </c>
    </row>
    <row r="49" spans="1:32" x14ac:dyDescent="0.25">
      <c r="A49" s="1"/>
      <c r="B49" s="2" t="s">
        <v>526</v>
      </c>
      <c r="C49" s="2"/>
      <c r="D49" s="2"/>
      <c r="E49" s="2"/>
      <c r="F49" s="3"/>
      <c r="G49" s="3">
        <f t="shared" si="6"/>
        <v>0</v>
      </c>
      <c r="H49" s="4">
        <f t="shared" si="7"/>
        <v>0</v>
      </c>
      <c r="I49" s="4">
        <f t="shared" si="8"/>
        <v>0</v>
      </c>
      <c r="J49" s="5">
        <f t="shared" si="9"/>
        <v>0</v>
      </c>
      <c r="L49" s="1"/>
      <c r="M49" s="2" t="s">
        <v>563</v>
      </c>
      <c r="N49" s="2"/>
      <c r="O49" s="2"/>
      <c r="P49" s="2"/>
      <c r="Q49" s="3"/>
      <c r="R49" s="3">
        <f t="shared" si="10"/>
        <v>0</v>
      </c>
      <c r="S49" s="4">
        <f t="shared" si="2"/>
        <v>0</v>
      </c>
      <c r="T49" s="4">
        <f t="shared" si="3"/>
        <v>0</v>
      </c>
      <c r="U49" s="5">
        <f t="shared" si="4"/>
        <v>0</v>
      </c>
      <c r="W49" s="1"/>
      <c r="X49" s="2" t="s">
        <v>467</v>
      </c>
      <c r="Y49" s="2"/>
      <c r="Z49" s="2"/>
      <c r="AA49" s="2"/>
      <c r="AB49" s="3"/>
      <c r="AC49" s="3">
        <f t="shared" si="11"/>
        <v>0</v>
      </c>
      <c r="AD49" s="4">
        <f t="shared" si="12"/>
        <v>0</v>
      </c>
      <c r="AE49" s="4">
        <f t="shared" si="13"/>
        <v>0</v>
      </c>
      <c r="AF49" s="5">
        <f t="shared" si="14"/>
        <v>0</v>
      </c>
    </row>
    <row r="50" spans="1:32" x14ac:dyDescent="0.25">
      <c r="A50" s="1"/>
      <c r="B50" s="2" t="s">
        <v>527</v>
      </c>
      <c r="C50" s="2"/>
      <c r="D50" s="2"/>
      <c r="E50" s="2"/>
      <c r="F50" s="3"/>
      <c r="G50" s="3">
        <f t="shared" si="6"/>
        <v>0</v>
      </c>
      <c r="H50" s="4">
        <f t="shared" si="7"/>
        <v>0</v>
      </c>
      <c r="I50" s="4">
        <f t="shared" si="8"/>
        <v>0</v>
      </c>
      <c r="J50" s="5">
        <f t="shared" si="9"/>
        <v>0</v>
      </c>
      <c r="L50" s="6">
        <v>45825</v>
      </c>
      <c r="M50" s="2" t="s">
        <v>564</v>
      </c>
      <c r="N50" s="13" t="s">
        <v>625</v>
      </c>
      <c r="O50" s="13" t="s">
        <v>14</v>
      </c>
      <c r="P50" s="2">
        <v>1</v>
      </c>
      <c r="Q50" s="3">
        <v>4750</v>
      </c>
      <c r="R50" s="3">
        <f t="shared" si="10"/>
        <v>4750</v>
      </c>
      <c r="S50" s="4">
        <f t="shared" si="2"/>
        <v>4750</v>
      </c>
      <c r="T50" s="4">
        <f t="shared" si="3"/>
        <v>238</v>
      </c>
      <c r="U50" s="5">
        <f t="shared" si="4"/>
        <v>4988</v>
      </c>
      <c r="W50" s="1"/>
      <c r="X50" s="2" t="s">
        <v>468</v>
      </c>
      <c r="Y50" s="2"/>
      <c r="Z50" s="2"/>
      <c r="AA50" s="2"/>
      <c r="AB50" s="3"/>
      <c r="AC50" s="3">
        <f t="shared" si="11"/>
        <v>0</v>
      </c>
      <c r="AD50" s="4">
        <f t="shared" si="12"/>
        <v>0</v>
      </c>
      <c r="AE50" s="4">
        <f t="shared" si="13"/>
        <v>0</v>
      </c>
      <c r="AF50" s="5">
        <f t="shared" si="14"/>
        <v>0</v>
      </c>
    </row>
    <row r="51" spans="1:32" x14ac:dyDescent="0.25">
      <c r="A51" s="1"/>
      <c r="B51" s="2" t="s">
        <v>528</v>
      </c>
      <c r="C51" s="2"/>
      <c r="D51" s="2"/>
      <c r="E51" s="2"/>
      <c r="F51" s="3"/>
      <c r="G51" s="3">
        <f t="shared" si="6"/>
        <v>0</v>
      </c>
      <c r="H51" s="4">
        <f t="shared" si="7"/>
        <v>0</v>
      </c>
      <c r="I51" s="4">
        <f t="shared" si="8"/>
        <v>0</v>
      </c>
      <c r="J51" s="5">
        <f t="shared" si="9"/>
        <v>0</v>
      </c>
      <c r="L51" s="31">
        <v>45825</v>
      </c>
      <c r="M51" s="34" t="s">
        <v>616</v>
      </c>
      <c r="N51" s="37" t="s">
        <v>617</v>
      </c>
      <c r="O51" s="13" t="s">
        <v>14</v>
      </c>
      <c r="P51" s="2">
        <v>50</v>
      </c>
      <c r="Q51" s="3">
        <v>2250</v>
      </c>
      <c r="R51" s="16">
        <f t="shared" si="10"/>
        <v>112500</v>
      </c>
      <c r="S51" s="38">
        <f>R51-R52</f>
        <v>78750</v>
      </c>
      <c r="T51" s="38">
        <f t="shared" si="3"/>
        <v>3938</v>
      </c>
      <c r="U51" s="41">
        <f t="shared" si="4"/>
        <v>82688</v>
      </c>
      <c r="W51" s="1"/>
      <c r="X51" s="2" t="s">
        <v>469</v>
      </c>
      <c r="Y51" s="2"/>
      <c r="Z51" s="2"/>
      <c r="AA51" s="2"/>
      <c r="AB51" s="3"/>
      <c r="AC51" s="3">
        <f t="shared" si="11"/>
        <v>0</v>
      </c>
      <c r="AD51" s="4">
        <f t="shared" si="12"/>
        <v>0</v>
      </c>
      <c r="AE51" s="4">
        <f t="shared" si="13"/>
        <v>0</v>
      </c>
      <c r="AF51" s="5">
        <f t="shared" si="14"/>
        <v>0</v>
      </c>
    </row>
    <row r="52" spans="1:32" x14ac:dyDescent="0.25">
      <c r="A52" s="1"/>
      <c r="B52" s="2" t="s">
        <v>529</v>
      </c>
      <c r="C52" s="2"/>
      <c r="D52" s="2"/>
      <c r="E52" s="2"/>
      <c r="F52" s="3"/>
      <c r="G52" s="3">
        <f t="shared" si="6"/>
        <v>0</v>
      </c>
      <c r="H52" s="4">
        <f t="shared" si="7"/>
        <v>0</v>
      </c>
      <c r="I52" s="4">
        <f t="shared" si="8"/>
        <v>0</v>
      </c>
      <c r="J52" s="5">
        <f t="shared" si="9"/>
        <v>0</v>
      </c>
      <c r="L52" s="33"/>
      <c r="M52" s="36"/>
      <c r="N52" s="36"/>
      <c r="O52" s="13" t="s">
        <v>618</v>
      </c>
      <c r="P52" s="2"/>
      <c r="Q52" s="3"/>
      <c r="R52" s="16">
        <v>33750</v>
      </c>
      <c r="S52" s="40"/>
      <c r="T52" s="40"/>
      <c r="U52" s="43"/>
      <c r="W52" s="1"/>
      <c r="X52" s="2" t="s">
        <v>470</v>
      </c>
      <c r="Y52" s="2"/>
      <c r="Z52" s="2"/>
      <c r="AA52" s="2"/>
      <c r="AB52" s="3"/>
      <c r="AC52" s="3">
        <f t="shared" si="11"/>
        <v>0</v>
      </c>
      <c r="AD52" s="4">
        <f t="shared" si="12"/>
        <v>0</v>
      </c>
      <c r="AE52" s="4">
        <f t="shared" si="13"/>
        <v>0</v>
      </c>
      <c r="AF52" s="5">
        <f t="shared" si="14"/>
        <v>0</v>
      </c>
    </row>
    <row r="53" spans="1:32" x14ac:dyDescent="0.25">
      <c r="A53" s="1"/>
      <c r="B53" s="2" t="s">
        <v>530</v>
      </c>
      <c r="C53" s="2"/>
      <c r="D53" s="2"/>
      <c r="E53" s="2"/>
      <c r="F53" s="3"/>
      <c r="G53" s="3">
        <f t="shared" si="6"/>
        <v>0</v>
      </c>
      <c r="H53" s="4">
        <f t="shared" si="7"/>
        <v>0</v>
      </c>
      <c r="I53" s="4">
        <f t="shared" si="8"/>
        <v>0</v>
      </c>
      <c r="J53" s="5">
        <f t="shared" si="9"/>
        <v>0</v>
      </c>
      <c r="L53" s="1"/>
      <c r="M53" s="2" t="s">
        <v>565</v>
      </c>
      <c r="N53" s="2"/>
      <c r="O53" s="2"/>
      <c r="P53" s="2"/>
      <c r="Q53" s="3"/>
      <c r="R53" s="3">
        <f t="shared" si="10"/>
        <v>0</v>
      </c>
      <c r="S53" s="4">
        <f t="shared" si="2"/>
        <v>0</v>
      </c>
      <c r="T53" s="4">
        <f t="shared" si="3"/>
        <v>0</v>
      </c>
      <c r="U53" s="5">
        <f t="shared" si="4"/>
        <v>0</v>
      </c>
      <c r="AE53" s="14">
        <f>SUM(AE3:AE52)</f>
        <v>120652</v>
      </c>
    </row>
    <row r="54" spans="1:32" x14ac:dyDescent="0.25">
      <c r="I54" s="14">
        <f>SUM(I3:I53)+I58+I59+I60+I61+I62+I63+I64</f>
        <v>130592</v>
      </c>
      <c r="L54" s="1"/>
      <c r="M54" s="2" t="s">
        <v>566</v>
      </c>
      <c r="N54" s="2"/>
      <c r="O54" s="2"/>
      <c r="P54" s="2"/>
      <c r="Q54" s="3"/>
      <c r="R54" s="3">
        <f t="shared" si="10"/>
        <v>0</v>
      </c>
      <c r="S54" s="4">
        <f t="shared" si="2"/>
        <v>0</v>
      </c>
      <c r="T54" s="4">
        <f t="shared" si="3"/>
        <v>0</v>
      </c>
      <c r="U54" s="5">
        <f t="shared" si="4"/>
        <v>0</v>
      </c>
    </row>
    <row r="55" spans="1:32" ht="16.5" thickBot="1" x14ac:dyDescent="0.3">
      <c r="L55" s="1"/>
      <c r="M55" s="2" t="s">
        <v>567</v>
      </c>
      <c r="N55" s="2"/>
      <c r="O55" s="2"/>
      <c r="P55" s="2"/>
      <c r="Q55" s="3"/>
      <c r="R55" s="3">
        <f t="shared" si="10"/>
        <v>0</v>
      </c>
      <c r="S55" s="4">
        <f t="shared" si="2"/>
        <v>0</v>
      </c>
      <c r="T55" s="4">
        <f t="shared" si="3"/>
        <v>0</v>
      </c>
      <c r="U55" s="5">
        <f t="shared" si="4"/>
        <v>0</v>
      </c>
    </row>
    <row r="56" spans="1:32" x14ac:dyDescent="0.25">
      <c r="A56" s="50" t="s">
        <v>20</v>
      </c>
      <c r="B56" s="29"/>
      <c r="C56" s="29"/>
      <c r="D56" s="29"/>
      <c r="E56" s="29"/>
      <c r="F56" s="29"/>
      <c r="G56" s="29"/>
      <c r="H56" s="29"/>
      <c r="I56" s="29"/>
      <c r="J56" s="29"/>
      <c r="L56" s="1"/>
      <c r="M56" s="2" t="s">
        <v>568</v>
      </c>
      <c r="N56" s="2"/>
      <c r="O56" s="2"/>
      <c r="P56" s="2"/>
      <c r="Q56" s="3"/>
      <c r="R56" s="3">
        <f t="shared" si="10"/>
        <v>0</v>
      </c>
      <c r="S56" s="4">
        <f t="shared" si="2"/>
        <v>0</v>
      </c>
      <c r="T56" s="4">
        <f t="shared" si="3"/>
        <v>0</v>
      </c>
      <c r="U56" s="5">
        <f t="shared" si="4"/>
        <v>0</v>
      </c>
    </row>
    <row r="57" spans="1:32" x14ac:dyDescent="0.25">
      <c r="A57" s="1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3" t="s">
        <v>6</v>
      </c>
      <c r="G57" s="3" t="s">
        <v>7</v>
      </c>
      <c r="H57" s="4" t="s">
        <v>12</v>
      </c>
      <c r="I57" s="4" t="s">
        <v>9</v>
      </c>
      <c r="J57" s="4" t="s">
        <v>13</v>
      </c>
      <c r="L57" s="1"/>
      <c r="M57" s="2" t="s">
        <v>569</v>
      </c>
      <c r="N57" s="2"/>
      <c r="O57" s="2"/>
      <c r="P57" s="2"/>
      <c r="Q57" s="3"/>
      <c r="R57" s="3">
        <f t="shared" si="10"/>
        <v>0</v>
      </c>
      <c r="S57" s="4">
        <f t="shared" si="2"/>
        <v>0</v>
      </c>
      <c r="T57" s="4">
        <f t="shared" si="3"/>
        <v>0</v>
      </c>
      <c r="U57" s="5">
        <f t="shared" si="4"/>
        <v>0</v>
      </c>
    </row>
    <row r="58" spans="1:32" x14ac:dyDescent="0.25">
      <c r="A58" s="6">
        <v>45779</v>
      </c>
      <c r="B58" s="2" t="s">
        <v>474</v>
      </c>
      <c r="C58" s="2"/>
      <c r="D58" s="13" t="s">
        <v>481</v>
      </c>
      <c r="E58" s="2">
        <v>5</v>
      </c>
      <c r="F58" s="3">
        <v>2366</v>
      </c>
      <c r="G58" s="3">
        <f t="shared" ref="G58:G64" si="23">E58*F58</f>
        <v>11830</v>
      </c>
      <c r="H58" s="4">
        <f t="shared" ref="H58:H64" si="24">G58</f>
        <v>11830</v>
      </c>
      <c r="I58" s="12">
        <f>H58-ROUND(H58/1.05,0)</f>
        <v>563</v>
      </c>
      <c r="J58" s="4"/>
      <c r="L58" s="1"/>
      <c r="M58" s="2" t="s">
        <v>570</v>
      </c>
      <c r="N58" s="2"/>
      <c r="O58" s="2"/>
      <c r="P58" s="2"/>
      <c r="Q58" s="3"/>
      <c r="R58" s="3">
        <f t="shared" si="10"/>
        <v>0</v>
      </c>
      <c r="S58" s="4">
        <f t="shared" si="2"/>
        <v>0</v>
      </c>
      <c r="T58" s="4">
        <f t="shared" si="3"/>
        <v>0</v>
      </c>
      <c r="U58" s="5">
        <f t="shared" si="4"/>
        <v>0</v>
      </c>
    </row>
    <row r="59" spans="1:32" x14ac:dyDescent="0.25">
      <c r="A59" s="6">
        <v>45804</v>
      </c>
      <c r="B59" s="2" t="s">
        <v>475</v>
      </c>
      <c r="C59" s="2"/>
      <c r="D59" s="13" t="s">
        <v>14</v>
      </c>
      <c r="E59" s="2">
        <v>5</v>
      </c>
      <c r="F59" s="3">
        <v>2366</v>
      </c>
      <c r="G59" s="3">
        <f t="shared" si="23"/>
        <v>11830</v>
      </c>
      <c r="H59" s="4">
        <f t="shared" si="24"/>
        <v>11830</v>
      </c>
      <c r="I59" s="12">
        <f t="shared" ref="I59:I64" si="25">H59-ROUND(H59/1.05,0)</f>
        <v>563</v>
      </c>
      <c r="J59" s="4"/>
      <c r="L59" s="1"/>
      <c r="M59" s="2" t="s">
        <v>571</v>
      </c>
      <c r="N59" s="2"/>
      <c r="O59" s="2"/>
      <c r="P59" s="2"/>
      <c r="Q59" s="3"/>
      <c r="R59" s="3">
        <f t="shared" si="10"/>
        <v>0</v>
      </c>
      <c r="S59" s="4">
        <f t="shared" si="2"/>
        <v>0</v>
      </c>
      <c r="T59" s="4">
        <f t="shared" si="3"/>
        <v>0</v>
      </c>
      <c r="U59" s="5">
        <f t="shared" si="4"/>
        <v>0</v>
      </c>
    </row>
    <row r="60" spans="1:32" x14ac:dyDescent="0.25">
      <c r="A60" s="1"/>
      <c r="B60" s="2" t="s">
        <v>476</v>
      </c>
      <c r="C60" s="2"/>
      <c r="D60" s="2"/>
      <c r="E60" s="2"/>
      <c r="F60" s="3"/>
      <c r="G60" s="3">
        <f t="shared" si="23"/>
        <v>0</v>
      </c>
      <c r="H60" s="4">
        <f t="shared" si="24"/>
        <v>0</v>
      </c>
      <c r="I60" s="12">
        <f t="shared" si="25"/>
        <v>0</v>
      </c>
      <c r="J60" s="4"/>
      <c r="L60" s="1"/>
      <c r="M60" s="2" t="s">
        <v>572</v>
      </c>
      <c r="N60" s="2"/>
      <c r="O60" s="2"/>
      <c r="P60" s="2"/>
      <c r="Q60" s="3"/>
      <c r="R60" s="3">
        <f t="shared" si="10"/>
        <v>0</v>
      </c>
      <c r="S60" s="4">
        <f t="shared" si="2"/>
        <v>0</v>
      </c>
      <c r="T60" s="4">
        <f t="shared" si="3"/>
        <v>0</v>
      </c>
      <c r="U60" s="5">
        <f t="shared" si="4"/>
        <v>0</v>
      </c>
    </row>
    <row r="61" spans="1:32" x14ac:dyDescent="0.25">
      <c r="A61" s="1"/>
      <c r="B61" s="2" t="s">
        <v>477</v>
      </c>
      <c r="C61" s="2"/>
      <c r="D61" s="2"/>
      <c r="E61" s="2"/>
      <c r="F61" s="3"/>
      <c r="G61" s="3">
        <f t="shared" si="23"/>
        <v>0</v>
      </c>
      <c r="H61" s="4">
        <f t="shared" si="24"/>
        <v>0</v>
      </c>
      <c r="I61" s="12">
        <f t="shared" si="25"/>
        <v>0</v>
      </c>
      <c r="J61" s="4"/>
      <c r="L61" s="1"/>
      <c r="M61" s="2" t="s">
        <v>573</v>
      </c>
      <c r="N61" s="2"/>
      <c r="O61" s="2"/>
      <c r="P61" s="2"/>
      <c r="Q61" s="3"/>
      <c r="R61" s="3">
        <f t="shared" si="10"/>
        <v>0</v>
      </c>
      <c r="S61" s="4">
        <f t="shared" si="2"/>
        <v>0</v>
      </c>
      <c r="T61" s="4">
        <f t="shared" si="3"/>
        <v>0</v>
      </c>
      <c r="U61" s="5">
        <f t="shared" si="4"/>
        <v>0</v>
      </c>
    </row>
    <row r="62" spans="1:32" x14ac:dyDescent="0.25">
      <c r="A62" s="1"/>
      <c r="B62" s="2" t="s">
        <v>478</v>
      </c>
      <c r="C62" s="2"/>
      <c r="D62" s="2"/>
      <c r="E62" s="2"/>
      <c r="F62" s="3"/>
      <c r="G62" s="3">
        <f t="shared" si="23"/>
        <v>0</v>
      </c>
      <c r="H62" s="4">
        <f t="shared" si="24"/>
        <v>0</v>
      </c>
      <c r="I62" s="12">
        <f t="shared" si="25"/>
        <v>0</v>
      </c>
      <c r="J62" s="4"/>
      <c r="L62" s="1"/>
      <c r="M62" s="2" t="s">
        <v>574</v>
      </c>
      <c r="N62" s="2"/>
      <c r="O62" s="2"/>
      <c r="P62" s="2"/>
      <c r="Q62" s="3"/>
      <c r="R62" s="3">
        <f t="shared" si="10"/>
        <v>0</v>
      </c>
      <c r="S62" s="4">
        <f t="shared" si="2"/>
        <v>0</v>
      </c>
      <c r="T62" s="4">
        <f t="shared" si="3"/>
        <v>0</v>
      </c>
      <c r="U62" s="5">
        <f t="shared" si="4"/>
        <v>0</v>
      </c>
    </row>
    <row r="63" spans="1:32" ht="16.5" thickBot="1" x14ac:dyDescent="0.3">
      <c r="A63" s="1"/>
      <c r="B63" s="2" t="s">
        <v>479</v>
      </c>
      <c r="C63" s="2"/>
      <c r="D63" s="2"/>
      <c r="E63" s="2"/>
      <c r="F63" s="3"/>
      <c r="G63" s="3">
        <f t="shared" si="23"/>
        <v>0</v>
      </c>
      <c r="H63" s="4">
        <f t="shared" si="24"/>
        <v>0</v>
      </c>
      <c r="I63" s="12">
        <f t="shared" si="25"/>
        <v>0</v>
      </c>
      <c r="J63" s="4"/>
      <c r="L63" s="7"/>
      <c r="M63" s="2" t="s">
        <v>575</v>
      </c>
      <c r="N63" s="8"/>
      <c r="O63" s="8"/>
      <c r="P63" s="8"/>
      <c r="Q63" s="9"/>
      <c r="R63" s="9">
        <f t="shared" si="10"/>
        <v>0</v>
      </c>
      <c r="S63" s="10">
        <f t="shared" si="2"/>
        <v>0</v>
      </c>
      <c r="T63" s="10">
        <f t="shared" si="3"/>
        <v>0</v>
      </c>
      <c r="U63" s="11">
        <f t="shared" si="4"/>
        <v>0</v>
      </c>
    </row>
    <row r="64" spans="1:32" ht="16.5" thickBot="1" x14ac:dyDescent="0.3">
      <c r="A64" s="6"/>
      <c r="B64" s="2" t="s">
        <v>480</v>
      </c>
      <c r="C64" s="2"/>
      <c r="D64" s="2"/>
      <c r="E64" s="2"/>
      <c r="F64" s="3"/>
      <c r="G64" s="3">
        <f t="shared" si="23"/>
        <v>0</v>
      </c>
      <c r="H64" s="4">
        <f t="shared" si="24"/>
        <v>0</v>
      </c>
      <c r="I64" s="12">
        <f t="shared" si="25"/>
        <v>0</v>
      </c>
      <c r="J64" s="4"/>
      <c r="T64" s="14">
        <f>SUM(T3:T63)+T67</f>
        <v>177696</v>
      </c>
    </row>
    <row r="65" spans="12:21" x14ac:dyDescent="0.25">
      <c r="L65" s="50" t="s">
        <v>619</v>
      </c>
      <c r="M65" s="29"/>
      <c r="N65" s="29"/>
      <c r="O65" s="29"/>
      <c r="P65" s="29"/>
      <c r="Q65" s="29"/>
      <c r="R65" s="29"/>
      <c r="S65" s="29"/>
      <c r="T65" s="29"/>
      <c r="U65" s="29"/>
    </row>
    <row r="66" spans="12:21" x14ac:dyDescent="0.25">
      <c r="L66" s="1" t="s">
        <v>1</v>
      </c>
      <c r="M66" s="2" t="s">
        <v>2</v>
      </c>
      <c r="N66" s="2" t="s">
        <v>3</v>
      </c>
      <c r="O66" s="2" t="s">
        <v>4</v>
      </c>
      <c r="P66" s="2" t="s">
        <v>5</v>
      </c>
      <c r="Q66" s="3" t="s">
        <v>6</v>
      </c>
      <c r="R66" s="3" t="s">
        <v>7</v>
      </c>
      <c r="S66" s="4" t="s">
        <v>12</v>
      </c>
      <c r="T66" s="4" t="s">
        <v>9</v>
      </c>
      <c r="U66" s="4" t="s">
        <v>13</v>
      </c>
    </row>
    <row r="67" spans="12:21" x14ac:dyDescent="0.25">
      <c r="L67" s="6">
        <v>45813</v>
      </c>
      <c r="M67" s="2" t="s">
        <v>620</v>
      </c>
      <c r="N67" s="2"/>
      <c r="O67" s="13" t="s">
        <v>613</v>
      </c>
      <c r="P67" s="2">
        <v>1</v>
      </c>
      <c r="Q67" s="3">
        <v>600</v>
      </c>
      <c r="R67" s="3">
        <f t="shared" ref="R67:R68" si="26">P67*Q67</f>
        <v>600</v>
      </c>
      <c r="S67" s="4">
        <f t="shared" ref="S67:S68" si="27">R67</f>
        <v>600</v>
      </c>
      <c r="T67" s="12">
        <f>S67-ROUND(S67/1.05,0)</f>
        <v>29</v>
      </c>
      <c r="U67" s="4"/>
    </row>
    <row r="68" spans="12:21" x14ac:dyDescent="0.25">
      <c r="L68" s="6"/>
      <c r="M68" s="2" t="s">
        <v>621</v>
      </c>
      <c r="N68" s="2"/>
      <c r="O68" s="2"/>
      <c r="P68" s="2"/>
      <c r="Q68" s="3"/>
      <c r="R68" s="3">
        <f t="shared" si="26"/>
        <v>0</v>
      </c>
      <c r="S68" s="4">
        <f t="shared" si="27"/>
        <v>0</v>
      </c>
      <c r="T68" s="12">
        <f t="shared" ref="T68" si="28">S68-ROUND(S68/1.05,0)</f>
        <v>0</v>
      </c>
      <c r="U68" s="4"/>
    </row>
  </sheetData>
  <mergeCells count="65">
    <mergeCell ref="L65:U65"/>
    <mergeCell ref="U41:U43"/>
    <mergeCell ref="L51:L52"/>
    <mergeCell ref="M51:M52"/>
    <mergeCell ref="N51:N52"/>
    <mergeCell ref="S51:S52"/>
    <mergeCell ref="T51:T52"/>
    <mergeCell ref="U51:U52"/>
    <mergeCell ref="L41:L43"/>
    <mergeCell ref="M41:M43"/>
    <mergeCell ref="N41:N43"/>
    <mergeCell ref="S41:S43"/>
    <mergeCell ref="T41:T43"/>
    <mergeCell ref="U25:U26"/>
    <mergeCell ref="L36:L37"/>
    <mergeCell ref="M36:M37"/>
    <mergeCell ref="N36:N37"/>
    <mergeCell ref="S36:S37"/>
    <mergeCell ref="T36:T37"/>
    <mergeCell ref="U36:U37"/>
    <mergeCell ref="L25:L26"/>
    <mergeCell ref="M25:M26"/>
    <mergeCell ref="N25:N26"/>
    <mergeCell ref="S25:S26"/>
    <mergeCell ref="T25:T26"/>
    <mergeCell ref="A56:J56"/>
    <mergeCell ref="A3:A4"/>
    <mergeCell ref="B3:B4"/>
    <mergeCell ref="C3:C4"/>
    <mergeCell ref="H3:H4"/>
    <mergeCell ref="I3:I4"/>
    <mergeCell ref="J3:J4"/>
    <mergeCell ref="U16:U17"/>
    <mergeCell ref="L19:L20"/>
    <mergeCell ref="A1:J1"/>
    <mergeCell ref="L1:U1"/>
    <mergeCell ref="W1:AF1"/>
    <mergeCell ref="L5:L6"/>
    <mergeCell ref="M5:M6"/>
    <mergeCell ref="N5:N6"/>
    <mergeCell ref="S5:S6"/>
    <mergeCell ref="T5:T6"/>
    <mergeCell ref="U5:U6"/>
    <mergeCell ref="L16:L17"/>
    <mergeCell ref="M16:M17"/>
    <mergeCell ref="N16:N17"/>
    <mergeCell ref="S16:S17"/>
    <mergeCell ref="T16:T17"/>
    <mergeCell ref="U9:U10"/>
    <mergeCell ref="L9:L10"/>
    <mergeCell ref="M9:M10"/>
    <mergeCell ref="N9:N10"/>
    <mergeCell ref="S9:S10"/>
    <mergeCell ref="T9:T10"/>
    <mergeCell ref="S19:S20"/>
    <mergeCell ref="T19:T20"/>
    <mergeCell ref="U19:U20"/>
    <mergeCell ref="S21:S23"/>
    <mergeCell ref="T21:T23"/>
    <mergeCell ref="U21:U23"/>
    <mergeCell ref="L21:L23"/>
    <mergeCell ref="M21:M23"/>
    <mergeCell ref="N21:N23"/>
    <mergeCell ref="M19:M20"/>
    <mergeCell ref="N19:N20"/>
  </mergeCells>
  <phoneticPr fontId="4" type="noConversion"/>
  <pageMargins left="0.23622047244094488" right="0.23622047244094488" top="0" bottom="0" header="0" footer="0"/>
  <pageSetup paperSize="9" scale="2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0F82-6B3A-4101-9A13-DF6E834547D2}">
  <sheetPr>
    <pageSetUpPr fitToPage="1"/>
  </sheetPr>
  <dimension ref="A1:AF69"/>
  <sheetViews>
    <sheetView workbookViewId="0">
      <selection activeCell="S9" sqref="S9:S10"/>
    </sheetView>
  </sheetViews>
  <sheetFormatPr defaultRowHeight="15.75" x14ac:dyDescent="0.25"/>
  <cols>
    <col min="2" max="2" width="11.5" bestFit="1" customWidth="1"/>
    <col min="6" max="6" width="9.625" bestFit="1" customWidth="1"/>
    <col min="7" max="7" width="13.375" bestFit="1" customWidth="1"/>
    <col min="8" max="8" width="10.75" bestFit="1" customWidth="1"/>
    <col min="9" max="9" width="9.125" bestFit="1" customWidth="1"/>
    <col min="10" max="10" width="10.75" bestFit="1" customWidth="1"/>
    <col min="13" max="13" width="11.5" bestFit="1" customWidth="1"/>
    <col min="17" max="17" width="9.625" bestFit="1" customWidth="1"/>
    <col min="18" max="18" width="11.75" bestFit="1" customWidth="1"/>
    <col min="20" max="20" width="9.125" bestFit="1" customWidth="1"/>
    <col min="24" max="24" width="11.5" bestFit="1" customWidth="1"/>
    <col min="26" max="27" width="5.375" bestFit="1" customWidth="1"/>
    <col min="28" max="28" width="9.625" bestFit="1" customWidth="1"/>
    <col min="29" max="29" width="11.75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17" t="s">
        <v>187</v>
      </c>
      <c r="B3" s="2" t="s">
        <v>224</v>
      </c>
      <c r="C3" s="2"/>
      <c r="D3" s="2"/>
      <c r="E3" s="2"/>
      <c r="F3" s="3"/>
      <c r="G3" s="3">
        <f t="shared" ref="G3:G55" si="0">E3*F3</f>
        <v>0</v>
      </c>
      <c r="H3" s="4">
        <f t="shared" ref="H3:H55" si="1">G3</f>
        <v>0</v>
      </c>
      <c r="I3" s="4">
        <f t="shared" ref="I3:I55" si="2">ROUND(H3*0.05,0)</f>
        <v>0</v>
      </c>
      <c r="J3" s="5">
        <f t="shared" ref="J3:J55" si="3">H3+I3</f>
        <v>0</v>
      </c>
      <c r="L3" s="31">
        <v>45719</v>
      </c>
      <c r="M3" s="34" t="s">
        <v>329</v>
      </c>
      <c r="N3" s="37" t="s">
        <v>173</v>
      </c>
      <c r="O3" s="13" t="s">
        <v>14</v>
      </c>
      <c r="P3" s="2">
        <v>5</v>
      </c>
      <c r="Q3" s="3">
        <v>4169.2</v>
      </c>
      <c r="R3" s="4">
        <f t="shared" ref="R3:R5" si="4">P3*Q3</f>
        <v>20846</v>
      </c>
      <c r="S3" s="38">
        <f>R3+R4+R5</f>
        <v>32171</v>
      </c>
      <c r="T3" s="38">
        <f t="shared" ref="T3" si="5">ROUND(S3*0.05,0)</f>
        <v>1609</v>
      </c>
      <c r="U3" s="41">
        <f t="shared" ref="U3" si="6">S3+T3</f>
        <v>33780</v>
      </c>
      <c r="W3" s="17" t="s">
        <v>382</v>
      </c>
      <c r="X3" s="2" t="s">
        <v>279</v>
      </c>
      <c r="Y3" s="13" t="s">
        <v>71</v>
      </c>
      <c r="Z3" s="13"/>
      <c r="AA3" s="2"/>
      <c r="AB3" s="3"/>
      <c r="AC3" s="3"/>
      <c r="AD3" s="4"/>
      <c r="AE3" s="4"/>
      <c r="AF3" s="5"/>
    </row>
    <row r="4" spans="1:32" x14ac:dyDescent="0.25">
      <c r="A4" s="17" t="s">
        <v>187</v>
      </c>
      <c r="B4" s="2" t="s">
        <v>225</v>
      </c>
      <c r="C4" s="2"/>
      <c r="D4" s="2"/>
      <c r="E4" s="2"/>
      <c r="F4" s="3"/>
      <c r="G4" s="3">
        <f t="shared" si="0"/>
        <v>0</v>
      </c>
      <c r="H4" s="4">
        <f t="shared" si="1"/>
        <v>0</v>
      </c>
      <c r="I4" s="4">
        <f t="shared" si="2"/>
        <v>0</v>
      </c>
      <c r="J4" s="5">
        <f t="shared" si="3"/>
        <v>0</v>
      </c>
      <c r="L4" s="32"/>
      <c r="M4" s="35"/>
      <c r="N4" s="35"/>
      <c r="O4" s="13" t="s">
        <v>16</v>
      </c>
      <c r="P4" s="2">
        <v>2</v>
      </c>
      <c r="Q4" s="3">
        <v>3862.5</v>
      </c>
      <c r="R4" s="4">
        <f t="shared" si="4"/>
        <v>7725</v>
      </c>
      <c r="S4" s="39"/>
      <c r="T4" s="39"/>
      <c r="U4" s="42"/>
      <c r="W4" s="17" t="s">
        <v>382</v>
      </c>
      <c r="X4" s="2" t="s">
        <v>280</v>
      </c>
      <c r="Y4" s="13" t="s">
        <v>71</v>
      </c>
      <c r="Z4" s="13"/>
      <c r="AA4" s="2"/>
      <c r="AB4" s="3"/>
      <c r="AC4" s="3"/>
      <c r="AD4" s="4"/>
      <c r="AE4" s="4"/>
      <c r="AF4" s="5"/>
    </row>
    <row r="5" spans="1:32" x14ac:dyDescent="0.25">
      <c r="A5" s="31">
        <v>45719</v>
      </c>
      <c r="B5" s="34" t="s">
        <v>278</v>
      </c>
      <c r="C5" s="37" t="s">
        <v>73</v>
      </c>
      <c r="D5" s="13" t="s">
        <v>14</v>
      </c>
      <c r="E5" s="2">
        <v>195</v>
      </c>
      <c r="F5" s="3">
        <f>G5/E5</f>
        <v>2184.6153846153848</v>
      </c>
      <c r="G5" s="16">
        <v>426000</v>
      </c>
      <c r="H5" s="38">
        <f>G5+G6</f>
        <v>449520</v>
      </c>
      <c r="I5" s="38">
        <f t="shared" si="2"/>
        <v>22476</v>
      </c>
      <c r="J5" s="41">
        <f t="shared" si="3"/>
        <v>471996</v>
      </c>
      <c r="L5" s="33"/>
      <c r="M5" s="36"/>
      <c r="N5" s="36"/>
      <c r="O5" s="13" t="s">
        <v>15</v>
      </c>
      <c r="P5" s="2">
        <v>20</v>
      </c>
      <c r="Q5" s="3">
        <v>180</v>
      </c>
      <c r="R5" s="4">
        <f t="shared" si="4"/>
        <v>3600</v>
      </c>
      <c r="S5" s="40"/>
      <c r="T5" s="40"/>
      <c r="U5" s="43"/>
      <c r="W5" s="6">
        <v>45719</v>
      </c>
      <c r="X5" s="2" t="s">
        <v>281</v>
      </c>
      <c r="Y5" s="13" t="s">
        <v>383</v>
      </c>
      <c r="Z5" s="13" t="s">
        <v>14</v>
      </c>
      <c r="AA5" s="2">
        <v>45</v>
      </c>
      <c r="AB5" s="3">
        <v>2935.56</v>
      </c>
      <c r="AC5" s="3">
        <f t="shared" ref="AC5:AC6" si="7">AA5*AB5</f>
        <v>132100.20000000001</v>
      </c>
      <c r="AD5" s="4">
        <f t="shared" ref="AD5:AD6" si="8">AC5</f>
        <v>132100.20000000001</v>
      </c>
      <c r="AE5" s="4">
        <f t="shared" ref="AE5:AE6" si="9">ROUND(AD5*0.05,0)</f>
        <v>6605</v>
      </c>
      <c r="AF5" s="5">
        <f t="shared" ref="AF5:AF6" si="10">AD5+AE5</f>
        <v>138705.20000000001</v>
      </c>
    </row>
    <row r="6" spans="1:32" x14ac:dyDescent="0.25">
      <c r="A6" s="33"/>
      <c r="B6" s="36"/>
      <c r="C6" s="36"/>
      <c r="D6" s="13" t="s">
        <v>16</v>
      </c>
      <c r="E6" s="2">
        <v>24</v>
      </c>
      <c r="F6" s="3">
        <v>980</v>
      </c>
      <c r="G6" s="16">
        <f t="shared" si="0"/>
        <v>23520</v>
      </c>
      <c r="H6" s="40"/>
      <c r="I6" s="40"/>
      <c r="J6" s="43"/>
      <c r="L6" s="6">
        <v>45719</v>
      </c>
      <c r="M6" s="2" t="s">
        <v>364</v>
      </c>
      <c r="N6" s="13" t="s">
        <v>205</v>
      </c>
      <c r="O6" s="13" t="s">
        <v>14</v>
      </c>
      <c r="P6" s="2">
        <v>1</v>
      </c>
      <c r="Q6" s="3">
        <v>6033</v>
      </c>
      <c r="R6" s="3">
        <f t="shared" ref="R6:R68" si="11">P6*Q6</f>
        <v>6033</v>
      </c>
      <c r="S6" s="4">
        <f t="shared" ref="S6:S68" si="12">R6</f>
        <v>6033</v>
      </c>
      <c r="T6" s="4">
        <f t="shared" ref="T6:T68" si="13">ROUND(S6*0.05,0)</f>
        <v>302</v>
      </c>
      <c r="U6" s="5">
        <f t="shared" ref="U6:U68" si="14">S6+T6</f>
        <v>6335</v>
      </c>
      <c r="W6" s="6">
        <v>45736</v>
      </c>
      <c r="X6" s="2" t="s">
        <v>282</v>
      </c>
      <c r="Y6" s="13" t="s">
        <v>383</v>
      </c>
      <c r="Z6" s="13" t="s">
        <v>14</v>
      </c>
      <c r="AA6" s="2">
        <v>193</v>
      </c>
      <c r="AB6" s="3">
        <v>2147.9299999999998</v>
      </c>
      <c r="AC6" s="3">
        <f t="shared" si="7"/>
        <v>414550.49</v>
      </c>
      <c r="AD6" s="4">
        <f t="shared" si="8"/>
        <v>414550.49</v>
      </c>
      <c r="AE6" s="4">
        <f t="shared" si="9"/>
        <v>20728</v>
      </c>
      <c r="AF6" s="5">
        <f t="shared" si="10"/>
        <v>435278.49</v>
      </c>
    </row>
    <row r="7" spans="1:32" x14ac:dyDescent="0.25">
      <c r="A7" s="31">
        <v>45719</v>
      </c>
      <c r="B7" s="34" t="s">
        <v>226</v>
      </c>
      <c r="C7" s="37" t="s">
        <v>127</v>
      </c>
      <c r="D7" s="13" t="s">
        <v>14</v>
      </c>
      <c r="E7" s="2">
        <v>6</v>
      </c>
      <c r="F7" s="3">
        <v>2355</v>
      </c>
      <c r="G7" s="16">
        <f t="shared" si="0"/>
        <v>14130</v>
      </c>
      <c r="H7" s="38">
        <v>21030</v>
      </c>
      <c r="I7" s="38">
        <f t="shared" ref="I7" si="15">ROUND(H7*0.05,0)</f>
        <v>1052</v>
      </c>
      <c r="J7" s="41">
        <f t="shared" ref="J7" si="16">H7+I7</f>
        <v>22082</v>
      </c>
      <c r="L7" s="6">
        <v>45719</v>
      </c>
      <c r="M7" s="2" t="s">
        <v>330</v>
      </c>
      <c r="N7" s="13" t="s">
        <v>365</v>
      </c>
      <c r="O7" s="13" t="s">
        <v>15</v>
      </c>
      <c r="P7" s="2">
        <v>1</v>
      </c>
      <c r="Q7" s="3">
        <v>580</v>
      </c>
      <c r="R7" s="3">
        <f t="shared" si="11"/>
        <v>580</v>
      </c>
      <c r="S7" s="4">
        <f t="shared" si="12"/>
        <v>580</v>
      </c>
      <c r="T7" s="4">
        <f t="shared" si="13"/>
        <v>29</v>
      </c>
      <c r="U7" s="5">
        <f t="shared" si="14"/>
        <v>609</v>
      </c>
      <c r="W7" s="6">
        <v>45748</v>
      </c>
      <c r="X7" s="2" t="s">
        <v>283</v>
      </c>
      <c r="Y7" s="13" t="s">
        <v>408</v>
      </c>
      <c r="Z7" s="13" t="s">
        <v>14</v>
      </c>
      <c r="AA7" s="2">
        <v>76</v>
      </c>
      <c r="AB7" s="3">
        <v>2069.7399999999998</v>
      </c>
      <c r="AC7" s="3">
        <f t="shared" ref="AC7:AC52" si="17">AA7*AB7</f>
        <v>157300.24</v>
      </c>
      <c r="AD7" s="4">
        <f t="shared" ref="AD7:AD52" si="18">AC7</f>
        <v>157300.24</v>
      </c>
      <c r="AE7" s="4">
        <f t="shared" ref="AE7:AE52" si="19">ROUND(AD7*0.05,0)</f>
        <v>7865</v>
      </c>
      <c r="AF7" s="5">
        <f t="shared" ref="AF7:AF52" si="20">AD7+AE7</f>
        <v>165165.24</v>
      </c>
    </row>
    <row r="8" spans="1:32" x14ac:dyDescent="0.25">
      <c r="A8" s="33"/>
      <c r="B8" s="36"/>
      <c r="C8" s="36"/>
      <c r="D8" s="13" t="s">
        <v>15</v>
      </c>
      <c r="E8" s="2">
        <v>18</v>
      </c>
      <c r="F8" s="3">
        <v>383.33</v>
      </c>
      <c r="G8" s="16">
        <f t="shared" si="0"/>
        <v>6899.94</v>
      </c>
      <c r="H8" s="40"/>
      <c r="I8" s="40"/>
      <c r="J8" s="43"/>
      <c r="L8" s="6">
        <v>45720</v>
      </c>
      <c r="M8" s="2" t="s">
        <v>331</v>
      </c>
      <c r="N8" s="13" t="s">
        <v>182</v>
      </c>
      <c r="O8" s="13" t="s">
        <v>14</v>
      </c>
      <c r="P8" s="2">
        <v>1</v>
      </c>
      <c r="Q8" s="3">
        <v>3381</v>
      </c>
      <c r="R8" s="3">
        <f t="shared" si="11"/>
        <v>3381</v>
      </c>
      <c r="S8" s="4">
        <f t="shared" si="12"/>
        <v>3381</v>
      </c>
      <c r="T8" s="4">
        <f t="shared" si="13"/>
        <v>169</v>
      </c>
      <c r="U8" s="5">
        <f t="shared" si="14"/>
        <v>3550</v>
      </c>
      <c r="W8" s="6">
        <v>45749</v>
      </c>
      <c r="X8" s="2" t="s">
        <v>284</v>
      </c>
      <c r="Y8" s="13" t="s">
        <v>409</v>
      </c>
      <c r="Z8" s="13" t="s">
        <v>14</v>
      </c>
      <c r="AA8" s="2">
        <v>15</v>
      </c>
      <c r="AB8" s="3">
        <v>2600</v>
      </c>
      <c r="AC8" s="3">
        <f t="shared" si="17"/>
        <v>39000</v>
      </c>
      <c r="AD8" s="4">
        <f t="shared" si="18"/>
        <v>39000</v>
      </c>
      <c r="AE8" s="4">
        <f t="shared" si="19"/>
        <v>1950</v>
      </c>
      <c r="AF8" s="5">
        <f t="shared" si="20"/>
        <v>40950</v>
      </c>
    </row>
    <row r="9" spans="1:32" x14ac:dyDescent="0.25">
      <c r="A9" s="6">
        <v>45719</v>
      </c>
      <c r="B9" s="2" t="s">
        <v>227</v>
      </c>
      <c r="C9" s="13" t="s">
        <v>128</v>
      </c>
      <c r="D9" s="13" t="s">
        <v>15</v>
      </c>
      <c r="E9" s="2">
        <v>1</v>
      </c>
      <c r="F9" s="3">
        <v>190</v>
      </c>
      <c r="G9" s="3">
        <f t="shared" si="0"/>
        <v>190</v>
      </c>
      <c r="H9" s="4">
        <f t="shared" si="1"/>
        <v>190</v>
      </c>
      <c r="I9" s="4">
        <f t="shared" si="2"/>
        <v>10</v>
      </c>
      <c r="J9" s="5">
        <f t="shared" si="3"/>
        <v>200</v>
      </c>
      <c r="L9" s="31">
        <v>45720</v>
      </c>
      <c r="M9" s="34" t="s">
        <v>367</v>
      </c>
      <c r="N9" s="37" t="s">
        <v>185</v>
      </c>
      <c r="O9" s="13" t="s">
        <v>14</v>
      </c>
      <c r="P9" s="2">
        <v>6</v>
      </c>
      <c r="Q9" s="3">
        <v>2200</v>
      </c>
      <c r="R9" s="16">
        <f t="shared" si="11"/>
        <v>13200</v>
      </c>
      <c r="S9" s="38">
        <f>R9+R10</f>
        <v>143385.82</v>
      </c>
      <c r="T9" s="38">
        <f t="shared" si="13"/>
        <v>7169</v>
      </c>
      <c r="U9" s="41">
        <f t="shared" si="14"/>
        <v>150554.82</v>
      </c>
      <c r="W9" s="6">
        <v>45757</v>
      </c>
      <c r="X9" s="2" t="s">
        <v>285</v>
      </c>
      <c r="Y9" s="13" t="s">
        <v>410</v>
      </c>
      <c r="Z9" s="13" t="s">
        <v>14</v>
      </c>
      <c r="AA9" s="2">
        <v>176</v>
      </c>
      <c r="AB9" s="3">
        <v>2212.39</v>
      </c>
      <c r="AC9" s="3">
        <v>389380</v>
      </c>
      <c r="AD9" s="4">
        <f t="shared" si="18"/>
        <v>389380</v>
      </c>
      <c r="AE9" s="4">
        <f t="shared" si="19"/>
        <v>19469</v>
      </c>
      <c r="AF9" s="5">
        <f t="shared" si="20"/>
        <v>408849</v>
      </c>
    </row>
    <row r="10" spans="1:32" x14ac:dyDescent="0.25">
      <c r="A10" s="6">
        <v>45719</v>
      </c>
      <c r="B10" s="2" t="s">
        <v>228</v>
      </c>
      <c r="C10" s="13" t="s">
        <v>126</v>
      </c>
      <c r="D10" s="13" t="s">
        <v>14</v>
      </c>
      <c r="E10" s="2">
        <v>347</v>
      </c>
      <c r="F10" s="3">
        <f>G10/E10</f>
        <v>2481.1671469740636</v>
      </c>
      <c r="G10" s="3">
        <v>860965</v>
      </c>
      <c r="H10" s="4">
        <f t="shared" si="1"/>
        <v>860965</v>
      </c>
      <c r="I10" s="4">
        <f t="shared" si="2"/>
        <v>43048</v>
      </c>
      <c r="J10" s="5">
        <f t="shared" si="3"/>
        <v>904013</v>
      </c>
      <c r="L10" s="33"/>
      <c r="M10" s="36"/>
      <c r="N10" s="36"/>
      <c r="O10" s="13" t="s">
        <v>16</v>
      </c>
      <c r="P10" s="2">
        <v>103</v>
      </c>
      <c r="Q10" s="3">
        <v>1263.94</v>
      </c>
      <c r="R10" s="16">
        <f t="shared" si="11"/>
        <v>130185.82</v>
      </c>
      <c r="S10" s="40"/>
      <c r="T10" s="40"/>
      <c r="U10" s="43"/>
      <c r="W10" s="6">
        <v>45765</v>
      </c>
      <c r="X10" s="2" t="s">
        <v>286</v>
      </c>
      <c r="Y10" s="13" t="s">
        <v>383</v>
      </c>
      <c r="Z10" s="13" t="s">
        <v>14</v>
      </c>
      <c r="AA10" s="2">
        <v>82</v>
      </c>
      <c r="AB10" s="3">
        <v>2360.98</v>
      </c>
      <c r="AC10" s="3">
        <f>AA10*AB10</f>
        <v>193600.36000000002</v>
      </c>
      <c r="AD10" s="4">
        <f t="shared" si="18"/>
        <v>193600.36000000002</v>
      </c>
      <c r="AE10" s="4">
        <f t="shared" si="19"/>
        <v>9680</v>
      </c>
      <c r="AF10" s="5">
        <f t="shared" si="20"/>
        <v>203280.36000000002</v>
      </c>
    </row>
    <row r="11" spans="1:32" x14ac:dyDescent="0.25">
      <c r="A11" s="6">
        <v>45722</v>
      </c>
      <c r="B11" s="2" t="s">
        <v>229</v>
      </c>
      <c r="C11" s="13" t="s">
        <v>74</v>
      </c>
      <c r="D11" s="13" t="s">
        <v>14</v>
      </c>
      <c r="E11" s="2">
        <v>181</v>
      </c>
      <c r="F11" s="3">
        <f>G11/E11</f>
        <v>2098.7845303867402</v>
      </c>
      <c r="G11" s="3">
        <v>379880</v>
      </c>
      <c r="H11" s="4">
        <f t="shared" si="1"/>
        <v>379880</v>
      </c>
      <c r="I11" s="4">
        <f t="shared" si="2"/>
        <v>18994</v>
      </c>
      <c r="J11" s="5">
        <f t="shared" si="3"/>
        <v>398874</v>
      </c>
      <c r="L11" s="31">
        <v>45727</v>
      </c>
      <c r="M11" s="34" t="s">
        <v>366</v>
      </c>
      <c r="N11" s="37" t="s">
        <v>181</v>
      </c>
      <c r="O11" s="13" t="s">
        <v>14</v>
      </c>
      <c r="P11" s="2">
        <v>1</v>
      </c>
      <c r="Q11" s="3">
        <v>4264</v>
      </c>
      <c r="R11" s="16">
        <f t="shared" si="11"/>
        <v>4264</v>
      </c>
      <c r="S11" s="38">
        <f>R11+R12</f>
        <v>10064</v>
      </c>
      <c r="T11" s="38">
        <f t="shared" ref="T11" si="21">ROUND(S11*0.05,0)</f>
        <v>503</v>
      </c>
      <c r="U11" s="41">
        <f t="shared" ref="U11" si="22">S11+T11</f>
        <v>10567</v>
      </c>
      <c r="W11" s="6">
        <v>45770</v>
      </c>
      <c r="X11" s="2" t="s">
        <v>287</v>
      </c>
      <c r="Y11" s="13" t="s">
        <v>383</v>
      </c>
      <c r="Z11" s="13" t="s">
        <v>14</v>
      </c>
      <c r="AA11" s="2">
        <v>259</v>
      </c>
      <c r="AB11" s="3">
        <v>2327.61</v>
      </c>
      <c r="AC11" s="3">
        <v>602850</v>
      </c>
      <c r="AD11" s="4">
        <f t="shared" si="18"/>
        <v>602850</v>
      </c>
      <c r="AE11" s="4">
        <f t="shared" si="19"/>
        <v>30143</v>
      </c>
      <c r="AF11" s="5">
        <f t="shared" si="20"/>
        <v>632993</v>
      </c>
    </row>
    <row r="12" spans="1:32" x14ac:dyDescent="0.25">
      <c r="A12" s="6">
        <v>45733</v>
      </c>
      <c r="B12" s="2" t="s">
        <v>230</v>
      </c>
      <c r="C12" s="13" t="s">
        <v>75</v>
      </c>
      <c r="D12" s="13" t="s">
        <v>14</v>
      </c>
      <c r="E12" s="2">
        <v>47</v>
      </c>
      <c r="F12" s="3">
        <f>G12/E12</f>
        <v>3930.8510638297871</v>
      </c>
      <c r="G12" s="3">
        <v>184750</v>
      </c>
      <c r="H12" s="4">
        <f t="shared" si="1"/>
        <v>184750</v>
      </c>
      <c r="I12" s="4">
        <f t="shared" si="2"/>
        <v>9238</v>
      </c>
      <c r="J12" s="5">
        <f t="shared" si="3"/>
        <v>193988</v>
      </c>
      <c r="L12" s="33"/>
      <c r="M12" s="36"/>
      <c r="N12" s="36"/>
      <c r="O12" s="13" t="s">
        <v>16</v>
      </c>
      <c r="P12" s="2">
        <v>2</v>
      </c>
      <c r="Q12" s="3">
        <v>2900</v>
      </c>
      <c r="R12" s="16">
        <f t="shared" si="11"/>
        <v>5800</v>
      </c>
      <c r="S12" s="40"/>
      <c r="T12" s="40"/>
      <c r="U12" s="43"/>
      <c r="W12" s="1"/>
      <c r="X12" s="2" t="s">
        <v>288</v>
      </c>
      <c r="Y12" s="2"/>
      <c r="Z12" s="2"/>
      <c r="AA12" s="2"/>
      <c r="AB12" s="3"/>
      <c r="AC12" s="3">
        <f t="shared" si="17"/>
        <v>0</v>
      </c>
      <c r="AD12" s="4">
        <f t="shared" si="18"/>
        <v>0</v>
      </c>
      <c r="AE12" s="4">
        <f t="shared" si="19"/>
        <v>0</v>
      </c>
      <c r="AF12" s="5">
        <f t="shared" si="20"/>
        <v>0</v>
      </c>
    </row>
    <row r="13" spans="1:32" x14ac:dyDescent="0.25">
      <c r="A13" s="6">
        <v>45734</v>
      </c>
      <c r="B13" s="2" t="s">
        <v>231</v>
      </c>
      <c r="C13" s="13" t="s">
        <v>378</v>
      </c>
      <c r="D13" s="13" t="s">
        <v>379</v>
      </c>
      <c r="E13" s="2">
        <v>69</v>
      </c>
      <c r="F13" s="3">
        <v>5461.25</v>
      </c>
      <c r="G13" s="3">
        <f t="shared" si="0"/>
        <v>376826.25</v>
      </c>
      <c r="H13" s="4">
        <f t="shared" si="1"/>
        <v>376826.25</v>
      </c>
      <c r="I13" s="4">
        <f t="shared" si="2"/>
        <v>18841</v>
      </c>
      <c r="J13" s="5">
        <f t="shared" si="3"/>
        <v>395667.25</v>
      </c>
      <c r="L13" s="31">
        <v>45729</v>
      </c>
      <c r="M13" s="34" t="s">
        <v>368</v>
      </c>
      <c r="N13" s="37" t="s">
        <v>180</v>
      </c>
      <c r="O13" s="13" t="s">
        <v>14</v>
      </c>
      <c r="P13" s="2">
        <v>1</v>
      </c>
      <c r="Q13" s="3">
        <v>5400</v>
      </c>
      <c r="R13" s="16">
        <f t="shared" si="11"/>
        <v>5400</v>
      </c>
      <c r="S13" s="38">
        <f>R13+R14</f>
        <v>7686</v>
      </c>
      <c r="T13" s="38">
        <f t="shared" ref="T13" si="23">ROUND(S13*0.05,0)</f>
        <v>384</v>
      </c>
      <c r="U13" s="41">
        <f t="shared" ref="U13" si="24">S13+T13</f>
        <v>8070</v>
      </c>
      <c r="W13" s="1"/>
      <c r="X13" s="2" t="s">
        <v>289</v>
      </c>
      <c r="Y13" s="2"/>
      <c r="Z13" s="2"/>
      <c r="AA13" s="2"/>
      <c r="AB13" s="3"/>
      <c r="AC13" s="3">
        <f t="shared" si="17"/>
        <v>0</v>
      </c>
      <c r="AD13" s="4">
        <f t="shared" si="18"/>
        <v>0</v>
      </c>
      <c r="AE13" s="4">
        <f t="shared" si="19"/>
        <v>0</v>
      </c>
      <c r="AF13" s="5">
        <f t="shared" si="20"/>
        <v>0</v>
      </c>
    </row>
    <row r="14" spans="1:32" x14ac:dyDescent="0.25">
      <c r="A14" s="6">
        <v>45748</v>
      </c>
      <c r="B14" s="2" t="s">
        <v>232</v>
      </c>
      <c r="C14" s="13" t="s">
        <v>411</v>
      </c>
      <c r="D14" s="13" t="s">
        <v>16</v>
      </c>
      <c r="E14" s="2">
        <v>1</v>
      </c>
      <c r="F14" s="3">
        <v>2800</v>
      </c>
      <c r="G14" s="3">
        <f t="shared" si="0"/>
        <v>2800</v>
      </c>
      <c r="H14" s="4">
        <f t="shared" si="1"/>
        <v>2800</v>
      </c>
      <c r="I14" s="4">
        <f t="shared" si="2"/>
        <v>140</v>
      </c>
      <c r="J14" s="5">
        <f t="shared" si="3"/>
        <v>2940</v>
      </c>
      <c r="L14" s="33"/>
      <c r="M14" s="36"/>
      <c r="N14" s="36"/>
      <c r="O14" s="13" t="s">
        <v>16</v>
      </c>
      <c r="P14" s="2">
        <v>1</v>
      </c>
      <c r="Q14" s="3">
        <v>2286</v>
      </c>
      <c r="R14" s="16">
        <f t="shared" si="11"/>
        <v>2286</v>
      </c>
      <c r="S14" s="40"/>
      <c r="T14" s="40"/>
      <c r="U14" s="43"/>
      <c r="W14" s="1"/>
      <c r="X14" s="2" t="s">
        <v>290</v>
      </c>
      <c r="Y14" s="2"/>
      <c r="Z14" s="2"/>
      <c r="AA14" s="2"/>
      <c r="AB14" s="3"/>
      <c r="AC14" s="3">
        <f t="shared" si="17"/>
        <v>0</v>
      </c>
      <c r="AD14" s="4">
        <f t="shared" si="18"/>
        <v>0</v>
      </c>
      <c r="AE14" s="4">
        <f t="shared" si="19"/>
        <v>0</v>
      </c>
      <c r="AF14" s="5">
        <f t="shared" si="20"/>
        <v>0</v>
      </c>
    </row>
    <row r="15" spans="1:32" x14ac:dyDescent="0.25">
      <c r="A15" s="6">
        <v>45748</v>
      </c>
      <c r="B15" s="2" t="s">
        <v>233</v>
      </c>
      <c r="C15" s="13" t="s">
        <v>412</v>
      </c>
      <c r="D15" s="13" t="s">
        <v>14</v>
      </c>
      <c r="E15" s="2">
        <v>89</v>
      </c>
      <c r="F15" s="3">
        <v>3120.17</v>
      </c>
      <c r="G15" s="3">
        <f t="shared" si="0"/>
        <v>277695.13</v>
      </c>
      <c r="H15" s="4">
        <f t="shared" si="1"/>
        <v>277695.13</v>
      </c>
      <c r="I15" s="4">
        <f t="shared" si="2"/>
        <v>13885</v>
      </c>
      <c r="J15" s="5">
        <f t="shared" si="3"/>
        <v>291580.13</v>
      </c>
      <c r="L15" s="6">
        <v>45729</v>
      </c>
      <c r="M15" s="2" t="s">
        <v>369</v>
      </c>
      <c r="N15" s="13" t="s">
        <v>191</v>
      </c>
      <c r="O15" s="13" t="s">
        <v>14</v>
      </c>
      <c r="P15" s="2">
        <v>400</v>
      </c>
      <c r="Q15" s="3">
        <f>R15/P15</f>
        <v>780.95249999999999</v>
      </c>
      <c r="R15" s="3">
        <v>312381</v>
      </c>
      <c r="S15" s="4">
        <f t="shared" si="12"/>
        <v>312381</v>
      </c>
      <c r="T15" s="4">
        <f t="shared" si="13"/>
        <v>15619</v>
      </c>
      <c r="U15" s="5">
        <f t="shared" si="14"/>
        <v>328000</v>
      </c>
      <c r="W15" s="1"/>
      <c r="X15" s="2" t="s">
        <v>291</v>
      </c>
      <c r="Y15" s="2"/>
      <c r="Z15" s="2"/>
      <c r="AA15" s="2"/>
      <c r="AB15" s="3"/>
      <c r="AC15" s="3">
        <f t="shared" si="17"/>
        <v>0</v>
      </c>
      <c r="AD15" s="4">
        <f t="shared" si="18"/>
        <v>0</v>
      </c>
      <c r="AE15" s="4">
        <f t="shared" si="19"/>
        <v>0</v>
      </c>
      <c r="AF15" s="5">
        <f t="shared" si="20"/>
        <v>0</v>
      </c>
    </row>
    <row r="16" spans="1:32" x14ac:dyDescent="0.25">
      <c r="A16" s="6">
        <v>45748</v>
      </c>
      <c r="B16" s="2" t="s">
        <v>234</v>
      </c>
      <c r="C16" s="13" t="s">
        <v>413</v>
      </c>
      <c r="D16" s="13" t="s">
        <v>14</v>
      </c>
      <c r="E16" s="2">
        <v>401</v>
      </c>
      <c r="F16" s="3">
        <f>G16/E16</f>
        <v>2585.1845386533664</v>
      </c>
      <c r="G16" s="3">
        <v>1036659</v>
      </c>
      <c r="H16" s="4">
        <f t="shared" si="1"/>
        <v>1036659</v>
      </c>
      <c r="I16" s="4">
        <f t="shared" si="2"/>
        <v>51833</v>
      </c>
      <c r="J16" s="5">
        <f t="shared" si="3"/>
        <v>1088492</v>
      </c>
      <c r="L16" s="6">
        <v>45734</v>
      </c>
      <c r="M16" s="2" t="s">
        <v>332</v>
      </c>
      <c r="N16" s="18" t="s">
        <v>370</v>
      </c>
      <c r="O16" s="13" t="s">
        <v>15</v>
      </c>
      <c r="P16" s="2">
        <v>1</v>
      </c>
      <c r="Q16" s="3">
        <v>900</v>
      </c>
      <c r="R16" s="3">
        <f t="shared" si="11"/>
        <v>900</v>
      </c>
      <c r="S16" s="4">
        <f t="shared" si="12"/>
        <v>900</v>
      </c>
      <c r="T16" s="4">
        <f t="shared" si="13"/>
        <v>45</v>
      </c>
      <c r="U16" s="5">
        <f t="shared" si="14"/>
        <v>945</v>
      </c>
      <c r="W16" s="1"/>
      <c r="X16" s="2" t="s">
        <v>292</v>
      </c>
      <c r="Y16" s="2"/>
      <c r="Z16" s="2"/>
      <c r="AA16" s="2"/>
      <c r="AB16" s="3"/>
      <c r="AC16" s="3">
        <f t="shared" si="17"/>
        <v>0</v>
      </c>
      <c r="AD16" s="4">
        <f t="shared" si="18"/>
        <v>0</v>
      </c>
      <c r="AE16" s="4">
        <f t="shared" si="19"/>
        <v>0</v>
      </c>
      <c r="AF16" s="5">
        <f t="shared" si="20"/>
        <v>0</v>
      </c>
    </row>
    <row r="17" spans="1:32" x14ac:dyDescent="0.25">
      <c r="A17" s="6">
        <v>45749</v>
      </c>
      <c r="B17" s="2" t="s">
        <v>235</v>
      </c>
      <c r="C17" s="13" t="s">
        <v>414</v>
      </c>
      <c r="D17" s="13" t="s">
        <v>14</v>
      </c>
      <c r="E17" s="2">
        <v>5</v>
      </c>
      <c r="F17" s="3">
        <v>3300</v>
      </c>
      <c r="G17" s="3">
        <f t="shared" si="0"/>
        <v>16500</v>
      </c>
      <c r="H17" s="4">
        <f t="shared" si="1"/>
        <v>16500</v>
      </c>
      <c r="I17" s="4">
        <f t="shared" si="2"/>
        <v>825</v>
      </c>
      <c r="J17" s="5">
        <f t="shared" si="3"/>
        <v>17325</v>
      </c>
      <c r="L17" s="31">
        <v>45734</v>
      </c>
      <c r="M17" s="34" t="s">
        <v>372</v>
      </c>
      <c r="N17" s="37" t="s">
        <v>373</v>
      </c>
      <c r="O17" s="13" t="s">
        <v>14</v>
      </c>
      <c r="P17" s="2">
        <v>1</v>
      </c>
      <c r="Q17" s="3">
        <v>2248</v>
      </c>
      <c r="R17" s="16">
        <f t="shared" si="11"/>
        <v>2248</v>
      </c>
      <c r="S17" s="38">
        <f>R17+R18</f>
        <v>5081</v>
      </c>
      <c r="T17" s="38">
        <f t="shared" si="13"/>
        <v>254</v>
      </c>
      <c r="U17" s="41">
        <f t="shared" si="14"/>
        <v>5335</v>
      </c>
      <c r="W17" s="1"/>
      <c r="X17" s="2" t="s">
        <v>293</v>
      </c>
      <c r="Y17" s="2"/>
      <c r="Z17" s="2"/>
      <c r="AA17" s="2"/>
      <c r="AB17" s="3"/>
      <c r="AC17" s="3">
        <f t="shared" si="17"/>
        <v>0</v>
      </c>
      <c r="AD17" s="4">
        <f t="shared" si="18"/>
        <v>0</v>
      </c>
      <c r="AE17" s="4">
        <f t="shared" si="19"/>
        <v>0</v>
      </c>
      <c r="AF17" s="5">
        <f t="shared" si="20"/>
        <v>0</v>
      </c>
    </row>
    <row r="18" spans="1:32" x14ac:dyDescent="0.25">
      <c r="A18" s="31">
        <v>45756</v>
      </c>
      <c r="B18" s="34" t="s">
        <v>415</v>
      </c>
      <c r="C18" s="37" t="s">
        <v>416</v>
      </c>
      <c r="D18" s="13" t="s">
        <v>14</v>
      </c>
      <c r="E18" s="2">
        <v>28</v>
      </c>
      <c r="F18" s="3">
        <f>G18/E18</f>
        <v>3910.7142857142858</v>
      </c>
      <c r="G18" s="16">
        <v>109500</v>
      </c>
      <c r="H18" s="38">
        <f>G18+G19</f>
        <v>163800</v>
      </c>
      <c r="I18" s="38">
        <f t="shared" si="2"/>
        <v>8190</v>
      </c>
      <c r="J18" s="41">
        <f t="shared" si="3"/>
        <v>171990</v>
      </c>
      <c r="L18" s="33"/>
      <c r="M18" s="36"/>
      <c r="N18" s="36"/>
      <c r="O18" s="13" t="s">
        <v>16</v>
      </c>
      <c r="P18" s="2">
        <v>1</v>
      </c>
      <c r="Q18" s="3">
        <v>2833</v>
      </c>
      <c r="R18" s="16">
        <f t="shared" si="11"/>
        <v>2833</v>
      </c>
      <c r="S18" s="40"/>
      <c r="T18" s="40"/>
      <c r="U18" s="43"/>
      <c r="W18" s="1"/>
      <c r="X18" s="2" t="s">
        <v>294</v>
      </c>
      <c r="Y18" s="2"/>
      <c r="Z18" s="2"/>
      <c r="AA18" s="2"/>
      <c r="AB18" s="3"/>
      <c r="AC18" s="3">
        <f t="shared" si="17"/>
        <v>0</v>
      </c>
      <c r="AD18" s="4">
        <f t="shared" si="18"/>
        <v>0</v>
      </c>
      <c r="AE18" s="4">
        <f t="shared" si="19"/>
        <v>0</v>
      </c>
      <c r="AF18" s="5">
        <f t="shared" si="20"/>
        <v>0</v>
      </c>
    </row>
    <row r="19" spans="1:32" x14ac:dyDescent="0.25">
      <c r="A19" s="33"/>
      <c r="B19" s="36"/>
      <c r="C19" s="36"/>
      <c r="D19" s="13" t="s">
        <v>16</v>
      </c>
      <c r="E19" s="2">
        <v>30</v>
      </c>
      <c r="F19" s="3">
        <v>1810</v>
      </c>
      <c r="G19" s="16">
        <f t="shared" si="0"/>
        <v>54300</v>
      </c>
      <c r="H19" s="40"/>
      <c r="I19" s="40"/>
      <c r="J19" s="43"/>
      <c r="L19" s="6">
        <v>45734</v>
      </c>
      <c r="M19" s="2" t="s">
        <v>371</v>
      </c>
      <c r="N19" s="13" t="s">
        <v>374</v>
      </c>
      <c r="O19" s="13" t="s">
        <v>14</v>
      </c>
      <c r="P19" s="2">
        <v>51</v>
      </c>
      <c r="Q19" s="3">
        <v>2305.88</v>
      </c>
      <c r="R19" s="3">
        <f t="shared" si="11"/>
        <v>117599.88</v>
      </c>
      <c r="S19" s="4">
        <f t="shared" si="12"/>
        <v>117599.88</v>
      </c>
      <c r="T19" s="4">
        <f t="shared" si="13"/>
        <v>5880</v>
      </c>
      <c r="U19" s="5">
        <f t="shared" si="14"/>
        <v>123479.88</v>
      </c>
      <c r="W19" s="1"/>
      <c r="X19" s="2" t="s">
        <v>295</v>
      </c>
      <c r="Y19" s="2"/>
      <c r="Z19" s="2"/>
      <c r="AA19" s="2"/>
      <c r="AB19" s="3"/>
      <c r="AC19" s="3">
        <f t="shared" si="17"/>
        <v>0</v>
      </c>
      <c r="AD19" s="4">
        <f t="shared" si="18"/>
        <v>0</v>
      </c>
      <c r="AE19" s="4">
        <f t="shared" si="19"/>
        <v>0</v>
      </c>
      <c r="AF19" s="5">
        <f t="shared" si="20"/>
        <v>0</v>
      </c>
    </row>
    <row r="20" spans="1:32" x14ac:dyDescent="0.25">
      <c r="A20" s="15" t="s">
        <v>386</v>
      </c>
      <c r="B20" s="2" t="s">
        <v>236</v>
      </c>
      <c r="C20" s="2"/>
      <c r="D20" s="2"/>
      <c r="E20" s="2"/>
      <c r="F20" s="3"/>
      <c r="G20" s="3">
        <f t="shared" si="0"/>
        <v>0</v>
      </c>
      <c r="H20" s="4">
        <f t="shared" si="1"/>
        <v>0</v>
      </c>
      <c r="I20" s="4">
        <f t="shared" si="2"/>
        <v>0</v>
      </c>
      <c r="J20" s="5">
        <f t="shared" si="3"/>
        <v>0</v>
      </c>
      <c r="L20" s="6">
        <v>45734</v>
      </c>
      <c r="M20" s="2" t="s">
        <v>333</v>
      </c>
      <c r="N20" s="13" t="s">
        <v>188</v>
      </c>
      <c r="O20" s="13" t="s">
        <v>14</v>
      </c>
      <c r="P20" s="2">
        <v>176</v>
      </c>
      <c r="Q20" s="3">
        <v>1752.84</v>
      </c>
      <c r="R20" s="3">
        <f t="shared" si="11"/>
        <v>308499.83999999997</v>
      </c>
      <c r="S20" s="4">
        <f t="shared" si="12"/>
        <v>308499.83999999997</v>
      </c>
      <c r="T20" s="4">
        <f t="shared" si="13"/>
        <v>15425</v>
      </c>
      <c r="U20" s="5">
        <f t="shared" si="14"/>
        <v>323924.83999999997</v>
      </c>
      <c r="W20" s="1"/>
      <c r="X20" s="2" t="s">
        <v>296</v>
      </c>
      <c r="Y20" s="2"/>
      <c r="Z20" s="2"/>
      <c r="AA20" s="2"/>
      <c r="AB20" s="3"/>
      <c r="AC20" s="3">
        <f t="shared" si="17"/>
        <v>0</v>
      </c>
      <c r="AD20" s="4">
        <f t="shared" si="18"/>
        <v>0</v>
      </c>
      <c r="AE20" s="4">
        <f t="shared" si="19"/>
        <v>0</v>
      </c>
      <c r="AF20" s="5">
        <f t="shared" si="20"/>
        <v>0</v>
      </c>
    </row>
    <row r="21" spans="1:32" x14ac:dyDescent="0.25">
      <c r="A21" s="6">
        <v>45758</v>
      </c>
      <c r="B21" s="2" t="s">
        <v>237</v>
      </c>
      <c r="C21" s="13" t="s">
        <v>417</v>
      </c>
      <c r="D21" s="13" t="s">
        <v>14</v>
      </c>
      <c r="E21" s="2">
        <v>95</v>
      </c>
      <c r="F21" s="3">
        <v>4000</v>
      </c>
      <c r="G21" s="3">
        <f t="shared" si="0"/>
        <v>380000</v>
      </c>
      <c r="H21" s="4">
        <f t="shared" si="1"/>
        <v>380000</v>
      </c>
      <c r="I21" s="4">
        <f t="shared" si="2"/>
        <v>19000</v>
      </c>
      <c r="J21" s="5">
        <f t="shared" si="3"/>
        <v>399000</v>
      </c>
      <c r="L21" s="6">
        <v>45736</v>
      </c>
      <c r="M21" s="2" t="s">
        <v>334</v>
      </c>
      <c r="N21" s="13" t="s">
        <v>375</v>
      </c>
      <c r="O21" s="13" t="s">
        <v>15</v>
      </c>
      <c r="P21" s="2">
        <v>3</v>
      </c>
      <c r="Q21" s="3">
        <v>139.66999999999999</v>
      </c>
      <c r="R21" s="3">
        <f t="shared" si="11"/>
        <v>419.01</v>
      </c>
      <c r="S21" s="4">
        <f t="shared" si="12"/>
        <v>419.01</v>
      </c>
      <c r="T21" s="4">
        <f t="shared" si="13"/>
        <v>21</v>
      </c>
      <c r="U21" s="5">
        <f t="shared" si="14"/>
        <v>440.01</v>
      </c>
      <c r="W21" s="1"/>
      <c r="X21" s="2" t="s">
        <v>297</v>
      </c>
      <c r="Y21" s="2"/>
      <c r="Z21" s="2"/>
      <c r="AA21" s="2"/>
      <c r="AB21" s="3"/>
      <c r="AC21" s="3">
        <f t="shared" si="17"/>
        <v>0</v>
      </c>
      <c r="AD21" s="4">
        <f t="shared" si="18"/>
        <v>0</v>
      </c>
      <c r="AE21" s="4">
        <f t="shared" si="19"/>
        <v>0</v>
      </c>
      <c r="AF21" s="5">
        <f t="shared" si="20"/>
        <v>0</v>
      </c>
    </row>
    <row r="22" spans="1:32" x14ac:dyDescent="0.25">
      <c r="A22" s="6">
        <v>45769</v>
      </c>
      <c r="B22" s="2" t="s">
        <v>238</v>
      </c>
      <c r="C22" s="13" t="s">
        <v>418</v>
      </c>
      <c r="D22" s="13" t="s">
        <v>14</v>
      </c>
      <c r="E22" s="2">
        <v>10</v>
      </c>
      <c r="F22" s="3">
        <v>4666.7</v>
      </c>
      <c r="G22" s="3">
        <f t="shared" si="0"/>
        <v>46667</v>
      </c>
      <c r="H22" s="4">
        <f t="shared" si="1"/>
        <v>46667</v>
      </c>
      <c r="I22" s="4">
        <f t="shared" si="2"/>
        <v>2333</v>
      </c>
      <c r="J22" s="5">
        <f t="shared" si="3"/>
        <v>49000</v>
      </c>
      <c r="L22" s="6">
        <v>45736</v>
      </c>
      <c r="M22" s="2" t="s">
        <v>335</v>
      </c>
      <c r="N22" s="13" t="s">
        <v>178</v>
      </c>
      <c r="O22" s="13" t="s">
        <v>14</v>
      </c>
      <c r="P22" s="2">
        <v>3</v>
      </c>
      <c r="Q22" s="3">
        <v>2916.67</v>
      </c>
      <c r="R22" s="3">
        <f t="shared" si="11"/>
        <v>8750.01</v>
      </c>
      <c r="S22" s="4">
        <f t="shared" si="12"/>
        <v>8750.01</v>
      </c>
      <c r="T22" s="4">
        <f t="shared" si="13"/>
        <v>438</v>
      </c>
      <c r="U22" s="5">
        <f t="shared" si="14"/>
        <v>9188.01</v>
      </c>
      <c r="W22" s="1"/>
      <c r="X22" s="2" t="s">
        <v>298</v>
      </c>
      <c r="Y22" s="2"/>
      <c r="Z22" s="2"/>
      <c r="AA22" s="2"/>
      <c r="AB22" s="3"/>
      <c r="AC22" s="3">
        <f t="shared" si="17"/>
        <v>0</v>
      </c>
      <c r="AD22" s="4">
        <f t="shared" si="18"/>
        <v>0</v>
      </c>
      <c r="AE22" s="4">
        <f t="shared" si="19"/>
        <v>0</v>
      </c>
      <c r="AF22" s="5">
        <f t="shared" si="20"/>
        <v>0</v>
      </c>
    </row>
    <row r="23" spans="1:32" x14ac:dyDescent="0.25">
      <c r="A23" s="1"/>
      <c r="B23" s="2" t="s">
        <v>239</v>
      </c>
      <c r="C23" s="2"/>
      <c r="D23" s="2"/>
      <c r="E23" s="2"/>
      <c r="F23" s="3"/>
      <c r="G23" s="3">
        <f t="shared" si="0"/>
        <v>0</v>
      </c>
      <c r="H23" s="4">
        <f t="shared" si="1"/>
        <v>0</v>
      </c>
      <c r="I23" s="4">
        <f t="shared" si="2"/>
        <v>0</v>
      </c>
      <c r="J23" s="5">
        <f t="shared" si="3"/>
        <v>0</v>
      </c>
      <c r="L23" s="6">
        <v>45736</v>
      </c>
      <c r="M23" s="2" t="s">
        <v>336</v>
      </c>
      <c r="N23" s="13" t="s">
        <v>215</v>
      </c>
      <c r="O23" s="13" t="s">
        <v>14</v>
      </c>
      <c r="P23" s="2">
        <v>1</v>
      </c>
      <c r="Q23" s="3">
        <v>4300</v>
      </c>
      <c r="R23" s="3">
        <f t="shared" si="11"/>
        <v>4300</v>
      </c>
      <c r="S23" s="4">
        <f t="shared" si="12"/>
        <v>4300</v>
      </c>
      <c r="T23" s="4">
        <f t="shared" si="13"/>
        <v>215</v>
      </c>
      <c r="U23" s="5">
        <f t="shared" si="14"/>
        <v>4515</v>
      </c>
      <c r="W23" s="1"/>
      <c r="X23" s="2" t="s">
        <v>299</v>
      </c>
      <c r="Y23" s="2"/>
      <c r="Z23" s="2"/>
      <c r="AA23" s="2"/>
      <c r="AB23" s="3"/>
      <c r="AC23" s="3">
        <f t="shared" si="17"/>
        <v>0</v>
      </c>
      <c r="AD23" s="4">
        <f t="shared" si="18"/>
        <v>0</v>
      </c>
      <c r="AE23" s="4">
        <f t="shared" si="19"/>
        <v>0</v>
      </c>
      <c r="AF23" s="5">
        <f t="shared" si="20"/>
        <v>0</v>
      </c>
    </row>
    <row r="24" spans="1:32" x14ac:dyDescent="0.25">
      <c r="A24" s="1"/>
      <c r="B24" s="2" t="s">
        <v>240</v>
      </c>
      <c r="C24" s="2"/>
      <c r="D24" s="2"/>
      <c r="E24" s="2"/>
      <c r="F24" s="3"/>
      <c r="G24" s="3">
        <f t="shared" si="0"/>
        <v>0</v>
      </c>
      <c r="H24" s="4">
        <f t="shared" si="1"/>
        <v>0</v>
      </c>
      <c r="I24" s="4">
        <f t="shared" si="2"/>
        <v>0</v>
      </c>
      <c r="J24" s="5">
        <f t="shared" si="3"/>
        <v>0</v>
      </c>
      <c r="L24" s="6">
        <v>45741</v>
      </c>
      <c r="M24" s="2" t="s">
        <v>337</v>
      </c>
      <c r="N24" s="13" t="s">
        <v>376</v>
      </c>
      <c r="O24" s="13" t="s">
        <v>377</v>
      </c>
      <c r="P24" s="2">
        <v>1</v>
      </c>
      <c r="Q24" s="3">
        <v>2857</v>
      </c>
      <c r="R24" s="3">
        <f t="shared" si="11"/>
        <v>2857</v>
      </c>
      <c r="S24" s="4">
        <f t="shared" si="12"/>
        <v>2857</v>
      </c>
      <c r="T24" s="4">
        <f t="shared" si="13"/>
        <v>143</v>
      </c>
      <c r="U24" s="5">
        <f t="shared" si="14"/>
        <v>3000</v>
      </c>
      <c r="W24" s="1"/>
      <c r="X24" s="2" t="s">
        <v>300</v>
      </c>
      <c r="Y24" s="2"/>
      <c r="Z24" s="2"/>
      <c r="AA24" s="2"/>
      <c r="AB24" s="3"/>
      <c r="AC24" s="3">
        <f t="shared" si="17"/>
        <v>0</v>
      </c>
      <c r="AD24" s="4">
        <f t="shared" si="18"/>
        <v>0</v>
      </c>
      <c r="AE24" s="4">
        <f t="shared" si="19"/>
        <v>0</v>
      </c>
      <c r="AF24" s="5">
        <f t="shared" si="20"/>
        <v>0</v>
      </c>
    </row>
    <row r="25" spans="1:32" x14ac:dyDescent="0.25">
      <c r="A25" s="1"/>
      <c r="B25" s="2" t="s">
        <v>241</v>
      </c>
      <c r="C25" s="2"/>
      <c r="D25" s="2"/>
      <c r="E25" s="2"/>
      <c r="F25" s="3"/>
      <c r="G25" s="3">
        <f t="shared" si="0"/>
        <v>0</v>
      </c>
      <c r="H25" s="4">
        <f t="shared" si="1"/>
        <v>0</v>
      </c>
      <c r="I25" s="4">
        <f t="shared" si="2"/>
        <v>0</v>
      </c>
      <c r="J25" s="5">
        <f t="shared" si="3"/>
        <v>0</v>
      </c>
      <c r="L25" s="6">
        <v>45741</v>
      </c>
      <c r="M25" s="2" t="s">
        <v>338</v>
      </c>
      <c r="N25" s="13" t="s">
        <v>380</v>
      </c>
      <c r="O25" s="13" t="s">
        <v>381</v>
      </c>
      <c r="P25" s="2">
        <v>12</v>
      </c>
      <c r="Q25" s="3">
        <v>2571.42</v>
      </c>
      <c r="R25" s="3">
        <f t="shared" si="11"/>
        <v>30857.040000000001</v>
      </c>
      <c r="S25" s="4">
        <f t="shared" si="12"/>
        <v>30857.040000000001</v>
      </c>
      <c r="T25" s="4">
        <f t="shared" si="13"/>
        <v>1543</v>
      </c>
      <c r="U25" s="5">
        <f t="shared" si="14"/>
        <v>32400.04</v>
      </c>
      <c r="W25" s="1"/>
      <c r="X25" s="2" t="s">
        <v>301</v>
      </c>
      <c r="Y25" s="2"/>
      <c r="Z25" s="2"/>
      <c r="AA25" s="2"/>
      <c r="AB25" s="3"/>
      <c r="AC25" s="3">
        <f t="shared" si="17"/>
        <v>0</v>
      </c>
      <c r="AD25" s="4">
        <f t="shared" si="18"/>
        <v>0</v>
      </c>
      <c r="AE25" s="4">
        <f t="shared" si="19"/>
        <v>0</v>
      </c>
      <c r="AF25" s="5">
        <f t="shared" si="20"/>
        <v>0</v>
      </c>
    </row>
    <row r="26" spans="1:32" x14ac:dyDescent="0.25">
      <c r="A26" s="1"/>
      <c r="B26" s="2" t="s">
        <v>242</v>
      </c>
      <c r="C26" s="2"/>
      <c r="D26" s="2"/>
      <c r="E26" s="2"/>
      <c r="F26" s="3"/>
      <c r="G26" s="3">
        <f t="shared" si="0"/>
        <v>0</v>
      </c>
      <c r="H26" s="4">
        <f t="shared" si="1"/>
        <v>0</v>
      </c>
      <c r="I26" s="4">
        <f t="shared" si="2"/>
        <v>0</v>
      </c>
      <c r="J26" s="5">
        <f t="shared" si="3"/>
        <v>0</v>
      </c>
      <c r="L26" s="31">
        <v>45748</v>
      </c>
      <c r="M26" s="34" t="s">
        <v>384</v>
      </c>
      <c r="N26" s="37" t="s">
        <v>385</v>
      </c>
      <c r="O26" s="13" t="s">
        <v>14</v>
      </c>
      <c r="P26" s="2">
        <v>3</v>
      </c>
      <c r="Q26" s="3">
        <v>3824</v>
      </c>
      <c r="R26" s="16">
        <f t="shared" si="11"/>
        <v>11472</v>
      </c>
      <c r="S26" s="38">
        <f>R26+R27</f>
        <v>16672</v>
      </c>
      <c r="T26" s="38">
        <f t="shared" si="13"/>
        <v>834</v>
      </c>
      <c r="U26" s="41">
        <f t="shared" si="14"/>
        <v>17506</v>
      </c>
      <c r="W26" s="1"/>
      <c r="X26" s="2" t="s">
        <v>302</v>
      </c>
      <c r="Y26" s="2"/>
      <c r="Z26" s="2"/>
      <c r="AA26" s="2"/>
      <c r="AB26" s="3"/>
      <c r="AC26" s="3">
        <f t="shared" si="17"/>
        <v>0</v>
      </c>
      <c r="AD26" s="4">
        <f t="shared" si="18"/>
        <v>0</v>
      </c>
      <c r="AE26" s="4">
        <f t="shared" si="19"/>
        <v>0</v>
      </c>
      <c r="AF26" s="5">
        <f t="shared" si="20"/>
        <v>0</v>
      </c>
    </row>
    <row r="27" spans="1:32" x14ac:dyDescent="0.25">
      <c r="A27" s="1"/>
      <c r="B27" s="2" t="s">
        <v>243</v>
      </c>
      <c r="C27" s="2"/>
      <c r="D27" s="2"/>
      <c r="E27" s="2"/>
      <c r="F27" s="3"/>
      <c r="G27" s="3">
        <f t="shared" si="0"/>
        <v>0</v>
      </c>
      <c r="H27" s="4">
        <f t="shared" si="1"/>
        <v>0</v>
      </c>
      <c r="I27" s="4">
        <f t="shared" si="2"/>
        <v>0</v>
      </c>
      <c r="J27" s="5">
        <f t="shared" si="3"/>
        <v>0</v>
      </c>
      <c r="L27" s="33"/>
      <c r="M27" s="36"/>
      <c r="N27" s="36"/>
      <c r="O27" s="13" t="s">
        <v>16</v>
      </c>
      <c r="P27" s="2">
        <v>2</v>
      </c>
      <c r="Q27" s="3">
        <v>2600</v>
      </c>
      <c r="R27" s="16">
        <f t="shared" si="11"/>
        <v>5200</v>
      </c>
      <c r="S27" s="40"/>
      <c r="T27" s="40"/>
      <c r="U27" s="43"/>
      <c r="W27" s="1"/>
      <c r="X27" s="2" t="s">
        <v>303</v>
      </c>
      <c r="Y27" s="2"/>
      <c r="Z27" s="2"/>
      <c r="AA27" s="2"/>
      <c r="AB27" s="3"/>
      <c r="AC27" s="3">
        <f t="shared" si="17"/>
        <v>0</v>
      </c>
      <c r="AD27" s="4">
        <f t="shared" si="18"/>
        <v>0</v>
      </c>
      <c r="AE27" s="4">
        <f t="shared" si="19"/>
        <v>0</v>
      </c>
      <c r="AF27" s="5">
        <f t="shared" si="20"/>
        <v>0</v>
      </c>
    </row>
    <row r="28" spans="1:32" x14ac:dyDescent="0.25">
      <c r="A28" s="1"/>
      <c r="B28" s="2" t="s">
        <v>244</v>
      </c>
      <c r="C28" s="2"/>
      <c r="D28" s="2"/>
      <c r="E28" s="2"/>
      <c r="F28" s="3"/>
      <c r="G28" s="3">
        <f t="shared" si="0"/>
        <v>0</v>
      </c>
      <c r="H28" s="4">
        <f t="shared" si="1"/>
        <v>0</v>
      </c>
      <c r="I28" s="4">
        <f t="shared" si="2"/>
        <v>0</v>
      </c>
      <c r="J28" s="5">
        <f t="shared" si="3"/>
        <v>0</v>
      </c>
      <c r="L28" s="15" t="s">
        <v>386</v>
      </c>
      <c r="M28" s="2" t="s">
        <v>339</v>
      </c>
      <c r="N28" s="2"/>
      <c r="O28" s="2"/>
      <c r="P28" s="2"/>
      <c r="Q28" s="3"/>
      <c r="R28" s="3">
        <f t="shared" si="11"/>
        <v>0</v>
      </c>
      <c r="S28" s="4">
        <f t="shared" si="12"/>
        <v>0</v>
      </c>
      <c r="T28" s="4">
        <f t="shared" si="13"/>
        <v>0</v>
      </c>
      <c r="U28" s="5">
        <f t="shared" si="14"/>
        <v>0</v>
      </c>
      <c r="W28" s="1"/>
      <c r="X28" s="2" t="s">
        <v>304</v>
      </c>
      <c r="Y28" s="2"/>
      <c r="Z28" s="2"/>
      <c r="AA28" s="2"/>
      <c r="AB28" s="3"/>
      <c r="AC28" s="3">
        <f t="shared" si="17"/>
        <v>0</v>
      </c>
      <c r="AD28" s="4">
        <f t="shared" si="18"/>
        <v>0</v>
      </c>
      <c r="AE28" s="4">
        <f t="shared" si="19"/>
        <v>0</v>
      </c>
      <c r="AF28" s="5">
        <f t="shared" si="20"/>
        <v>0</v>
      </c>
    </row>
    <row r="29" spans="1:32" x14ac:dyDescent="0.25">
      <c r="A29" s="1"/>
      <c r="B29" s="2" t="s">
        <v>245</v>
      </c>
      <c r="C29" s="2"/>
      <c r="D29" s="2"/>
      <c r="E29" s="2"/>
      <c r="F29" s="3"/>
      <c r="G29" s="3">
        <f t="shared" si="0"/>
        <v>0</v>
      </c>
      <c r="H29" s="4">
        <f t="shared" si="1"/>
        <v>0</v>
      </c>
      <c r="I29" s="4">
        <f t="shared" si="2"/>
        <v>0</v>
      </c>
      <c r="J29" s="5">
        <f t="shared" si="3"/>
        <v>0</v>
      </c>
      <c r="L29" s="6">
        <v>45748</v>
      </c>
      <c r="M29" s="2" t="s">
        <v>340</v>
      </c>
      <c r="N29" s="13" t="s">
        <v>387</v>
      </c>
      <c r="O29" s="13" t="s">
        <v>14</v>
      </c>
      <c r="P29" s="2">
        <v>1</v>
      </c>
      <c r="Q29" s="3">
        <v>5535</v>
      </c>
      <c r="R29" s="3">
        <f t="shared" si="11"/>
        <v>5535</v>
      </c>
      <c r="S29" s="4">
        <f t="shared" si="12"/>
        <v>5535</v>
      </c>
      <c r="T29" s="4">
        <f t="shared" si="13"/>
        <v>277</v>
      </c>
      <c r="U29" s="5">
        <f t="shared" si="14"/>
        <v>5812</v>
      </c>
      <c r="W29" s="1"/>
      <c r="X29" s="2" t="s">
        <v>305</v>
      </c>
      <c r="Y29" s="2"/>
      <c r="Z29" s="2"/>
      <c r="AA29" s="2"/>
      <c r="AB29" s="3"/>
      <c r="AC29" s="3">
        <f t="shared" si="17"/>
        <v>0</v>
      </c>
      <c r="AD29" s="4">
        <f t="shared" si="18"/>
        <v>0</v>
      </c>
      <c r="AE29" s="4">
        <f t="shared" si="19"/>
        <v>0</v>
      </c>
      <c r="AF29" s="5">
        <f t="shared" si="20"/>
        <v>0</v>
      </c>
    </row>
    <row r="30" spans="1:32" x14ac:dyDescent="0.25">
      <c r="A30" s="1"/>
      <c r="B30" s="2" t="s">
        <v>246</v>
      </c>
      <c r="C30" s="2"/>
      <c r="D30" s="2"/>
      <c r="E30" s="2"/>
      <c r="F30" s="3"/>
      <c r="G30" s="3">
        <f t="shared" si="0"/>
        <v>0</v>
      </c>
      <c r="H30" s="4">
        <f t="shared" si="1"/>
        <v>0</v>
      </c>
      <c r="I30" s="4">
        <f t="shared" si="2"/>
        <v>0</v>
      </c>
      <c r="J30" s="5">
        <f t="shared" si="3"/>
        <v>0</v>
      </c>
      <c r="L30" s="6">
        <v>45748</v>
      </c>
      <c r="M30" s="2" t="s">
        <v>341</v>
      </c>
      <c r="N30" s="13" t="s">
        <v>388</v>
      </c>
      <c r="O30" s="13" t="s">
        <v>15</v>
      </c>
      <c r="P30" s="2">
        <v>1</v>
      </c>
      <c r="Q30" s="3">
        <v>600</v>
      </c>
      <c r="R30" s="3">
        <f t="shared" si="11"/>
        <v>600</v>
      </c>
      <c r="S30" s="4">
        <f t="shared" si="12"/>
        <v>600</v>
      </c>
      <c r="T30" s="4">
        <f t="shared" si="13"/>
        <v>30</v>
      </c>
      <c r="U30" s="5">
        <f t="shared" si="14"/>
        <v>630</v>
      </c>
      <c r="W30" s="1"/>
      <c r="X30" s="2" t="s">
        <v>306</v>
      </c>
      <c r="Y30" s="2"/>
      <c r="Z30" s="2"/>
      <c r="AA30" s="2"/>
      <c r="AB30" s="3"/>
      <c r="AC30" s="3">
        <f t="shared" si="17"/>
        <v>0</v>
      </c>
      <c r="AD30" s="4">
        <f t="shared" si="18"/>
        <v>0</v>
      </c>
      <c r="AE30" s="4">
        <f t="shared" si="19"/>
        <v>0</v>
      </c>
      <c r="AF30" s="5">
        <f t="shared" si="20"/>
        <v>0</v>
      </c>
    </row>
    <row r="31" spans="1:32" x14ac:dyDescent="0.25">
      <c r="A31" s="1"/>
      <c r="B31" s="2" t="s">
        <v>247</v>
      </c>
      <c r="C31" s="2"/>
      <c r="D31" s="2"/>
      <c r="E31" s="2"/>
      <c r="F31" s="3"/>
      <c r="G31" s="3">
        <f t="shared" si="0"/>
        <v>0</v>
      </c>
      <c r="H31" s="4">
        <f t="shared" si="1"/>
        <v>0</v>
      </c>
      <c r="I31" s="4">
        <f t="shared" si="2"/>
        <v>0</v>
      </c>
      <c r="J31" s="5">
        <f t="shared" si="3"/>
        <v>0</v>
      </c>
      <c r="L31" s="6">
        <v>45748</v>
      </c>
      <c r="M31" s="2" t="s">
        <v>342</v>
      </c>
      <c r="N31" s="13" t="s">
        <v>389</v>
      </c>
      <c r="O31" s="13" t="s">
        <v>14</v>
      </c>
      <c r="P31" s="2">
        <v>3</v>
      </c>
      <c r="Q31" s="3">
        <v>3276</v>
      </c>
      <c r="R31" s="3">
        <f t="shared" si="11"/>
        <v>9828</v>
      </c>
      <c r="S31" s="4">
        <f t="shared" si="12"/>
        <v>9828</v>
      </c>
      <c r="T31" s="4">
        <f t="shared" si="13"/>
        <v>491</v>
      </c>
      <c r="U31" s="5">
        <f t="shared" si="14"/>
        <v>10319</v>
      </c>
      <c r="W31" s="1"/>
      <c r="X31" s="2" t="s">
        <v>307</v>
      </c>
      <c r="Y31" s="2"/>
      <c r="Z31" s="2"/>
      <c r="AA31" s="2"/>
      <c r="AB31" s="3"/>
      <c r="AC31" s="3">
        <f t="shared" si="17"/>
        <v>0</v>
      </c>
      <c r="AD31" s="4">
        <f t="shared" si="18"/>
        <v>0</v>
      </c>
      <c r="AE31" s="4">
        <f t="shared" si="19"/>
        <v>0</v>
      </c>
      <c r="AF31" s="5">
        <f t="shared" si="20"/>
        <v>0</v>
      </c>
    </row>
    <row r="32" spans="1:32" x14ac:dyDescent="0.25">
      <c r="A32" s="1"/>
      <c r="B32" s="2" t="s">
        <v>248</v>
      </c>
      <c r="C32" s="2"/>
      <c r="D32" s="2"/>
      <c r="E32" s="2"/>
      <c r="F32" s="3"/>
      <c r="G32" s="3">
        <f t="shared" si="0"/>
        <v>0</v>
      </c>
      <c r="H32" s="4">
        <f t="shared" si="1"/>
        <v>0</v>
      </c>
      <c r="I32" s="4">
        <f t="shared" si="2"/>
        <v>0</v>
      </c>
      <c r="J32" s="5">
        <f t="shared" si="3"/>
        <v>0</v>
      </c>
      <c r="L32" s="31">
        <v>45748</v>
      </c>
      <c r="M32" s="34" t="s">
        <v>390</v>
      </c>
      <c r="N32" s="37" t="s">
        <v>391</v>
      </c>
      <c r="O32" s="13" t="s">
        <v>14</v>
      </c>
      <c r="P32" s="2">
        <v>6</v>
      </c>
      <c r="Q32" s="3">
        <v>2619</v>
      </c>
      <c r="R32" s="4">
        <f t="shared" si="11"/>
        <v>15714</v>
      </c>
      <c r="S32" s="38">
        <f>R32+R33+R34</f>
        <v>25810</v>
      </c>
      <c r="T32" s="38">
        <f t="shared" si="13"/>
        <v>1291</v>
      </c>
      <c r="U32" s="41">
        <f t="shared" si="14"/>
        <v>27101</v>
      </c>
      <c r="W32" s="1"/>
      <c r="X32" s="2" t="s">
        <v>308</v>
      </c>
      <c r="Y32" s="2"/>
      <c r="Z32" s="2"/>
      <c r="AA32" s="2"/>
      <c r="AB32" s="3"/>
      <c r="AC32" s="3">
        <f t="shared" si="17"/>
        <v>0</v>
      </c>
      <c r="AD32" s="4">
        <f t="shared" si="18"/>
        <v>0</v>
      </c>
      <c r="AE32" s="4">
        <f t="shared" si="19"/>
        <v>0</v>
      </c>
      <c r="AF32" s="5">
        <f t="shared" si="20"/>
        <v>0</v>
      </c>
    </row>
    <row r="33" spans="1:32" x14ac:dyDescent="0.25">
      <c r="A33" s="1"/>
      <c r="B33" s="2" t="s">
        <v>249</v>
      </c>
      <c r="C33" s="2"/>
      <c r="D33" s="2"/>
      <c r="E33" s="2"/>
      <c r="F33" s="3"/>
      <c r="G33" s="3">
        <f t="shared" si="0"/>
        <v>0</v>
      </c>
      <c r="H33" s="4">
        <f t="shared" si="1"/>
        <v>0</v>
      </c>
      <c r="I33" s="4">
        <f t="shared" si="2"/>
        <v>0</v>
      </c>
      <c r="J33" s="5">
        <f t="shared" si="3"/>
        <v>0</v>
      </c>
      <c r="L33" s="32"/>
      <c r="M33" s="35"/>
      <c r="N33" s="35"/>
      <c r="O33" s="13" t="s">
        <v>16</v>
      </c>
      <c r="P33" s="2">
        <v>3</v>
      </c>
      <c r="Q33" s="3">
        <v>3143</v>
      </c>
      <c r="R33" s="4">
        <f t="shared" si="11"/>
        <v>9429</v>
      </c>
      <c r="S33" s="39"/>
      <c r="T33" s="39"/>
      <c r="U33" s="42"/>
      <c r="W33" s="1"/>
      <c r="X33" s="2" t="s">
        <v>309</v>
      </c>
      <c r="Y33" s="2"/>
      <c r="Z33" s="2"/>
      <c r="AA33" s="2"/>
      <c r="AB33" s="3"/>
      <c r="AC33" s="3">
        <f t="shared" si="17"/>
        <v>0</v>
      </c>
      <c r="AD33" s="4">
        <f t="shared" si="18"/>
        <v>0</v>
      </c>
      <c r="AE33" s="4">
        <f t="shared" si="19"/>
        <v>0</v>
      </c>
      <c r="AF33" s="5">
        <f t="shared" si="20"/>
        <v>0</v>
      </c>
    </row>
    <row r="34" spans="1:32" x14ac:dyDescent="0.25">
      <c r="A34" s="1"/>
      <c r="B34" s="2" t="s">
        <v>250</v>
      </c>
      <c r="C34" s="2"/>
      <c r="D34" s="2"/>
      <c r="E34" s="2"/>
      <c r="F34" s="3"/>
      <c r="G34" s="3">
        <f t="shared" si="0"/>
        <v>0</v>
      </c>
      <c r="H34" s="4">
        <f t="shared" si="1"/>
        <v>0</v>
      </c>
      <c r="I34" s="4">
        <f t="shared" si="2"/>
        <v>0</v>
      </c>
      <c r="J34" s="5">
        <f t="shared" si="3"/>
        <v>0</v>
      </c>
      <c r="L34" s="33"/>
      <c r="M34" s="36"/>
      <c r="N34" s="36"/>
      <c r="O34" s="13" t="s">
        <v>15</v>
      </c>
      <c r="P34" s="2">
        <v>2</v>
      </c>
      <c r="Q34" s="3">
        <v>333.5</v>
      </c>
      <c r="R34" s="4">
        <f t="shared" si="11"/>
        <v>667</v>
      </c>
      <c r="S34" s="40"/>
      <c r="T34" s="40"/>
      <c r="U34" s="43"/>
      <c r="W34" s="1"/>
      <c r="X34" s="2" t="s">
        <v>310</v>
      </c>
      <c r="Y34" s="2"/>
      <c r="Z34" s="2"/>
      <c r="AA34" s="2"/>
      <c r="AB34" s="3"/>
      <c r="AC34" s="3">
        <f t="shared" si="17"/>
        <v>0</v>
      </c>
      <c r="AD34" s="4">
        <f t="shared" si="18"/>
        <v>0</v>
      </c>
      <c r="AE34" s="4">
        <f t="shared" si="19"/>
        <v>0</v>
      </c>
      <c r="AF34" s="5">
        <f t="shared" si="20"/>
        <v>0</v>
      </c>
    </row>
    <row r="35" spans="1:32" x14ac:dyDescent="0.25">
      <c r="A35" s="1"/>
      <c r="B35" s="2" t="s">
        <v>251</v>
      </c>
      <c r="C35" s="2"/>
      <c r="D35" s="2"/>
      <c r="E35" s="2"/>
      <c r="F35" s="3"/>
      <c r="G35" s="3">
        <f t="shared" si="0"/>
        <v>0</v>
      </c>
      <c r="H35" s="4">
        <f t="shared" si="1"/>
        <v>0</v>
      </c>
      <c r="I35" s="4">
        <f t="shared" si="2"/>
        <v>0</v>
      </c>
      <c r="J35" s="5">
        <f t="shared" si="3"/>
        <v>0</v>
      </c>
      <c r="L35" s="31">
        <v>45748</v>
      </c>
      <c r="M35" s="34" t="s">
        <v>392</v>
      </c>
      <c r="N35" s="37" t="s">
        <v>393</v>
      </c>
      <c r="O35" s="13" t="s">
        <v>14</v>
      </c>
      <c r="P35" s="2">
        <v>114</v>
      </c>
      <c r="Q35" s="3">
        <v>2036.84</v>
      </c>
      <c r="R35" s="16">
        <f t="shared" si="11"/>
        <v>232199.75999999998</v>
      </c>
      <c r="S35" s="38">
        <f>R35+R36</f>
        <v>483400.01</v>
      </c>
      <c r="T35" s="38">
        <f t="shared" ref="T35" si="25">ROUND(S35*0.05,0)</f>
        <v>24170</v>
      </c>
      <c r="U35" s="41">
        <f t="shared" ref="U35" si="26">S35+T35</f>
        <v>507570.01</v>
      </c>
      <c r="W35" s="1"/>
      <c r="X35" s="2" t="s">
        <v>311</v>
      </c>
      <c r="Y35" s="2"/>
      <c r="Z35" s="2"/>
      <c r="AA35" s="2"/>
      <c r="AB35" s="3"/>
      <c r="AC35" s="3">
        <f t="shared" si="17"/>
        <v>0</v>
      </c>
      <c r="AD35" s="4">
        <f t="shared" si="18"/>
        <v>0</v>
      </c>
      <c r="AE35" s="4">
        <f t="shared" si="19"/>
        <v>0</v>
      </c>
      <c r="AF35" s="5">
        <f t="shared" si="20"/>
        <v>0</v>
      </c>
    </row>
    <row r="36" spans="1:32" x14ac:dyDescent="0.25">
      <c r="A36" s="1"/>
      <c r="B36" s="2" t="s">
        <v>252</v>
      </c>
      <c r="C36" s="2"/>
      <c r="D36" s="2"/>
      <c r="E36" s="2"/>
      <c r="F36" s="3"/>
      <c r="G36" s="3">
        <f t="shared" si="0"/>
        <v>0</v>
      </c>
      <c r="H36" s="4">
        <f t="shared" si="1"/>
        <v>0</v>
      </c>
      <c r="I36" s="4">
        <f t="shared" si="2"/>
        <v>0</v>
      </c>
      <c r="J36" s="5">
        <f t="shared" si="3"/>
        <v>0</v>
      </c>
      <c r="L36" s="33"/>
      <c r="M36" s="36"/>
      <c r="N36" s="36"/>
      <c r="O36" s="13" t="s">
        <v>16</v>
      </c>
      <c r="P36" s="2">
        <v>115</v>
      </c>
      <c r="Q36" s="3">
        <v>2184.35</v>
      </c>
      <c r="R36" s="16">
        <f t="shared" si="11"/>
        <v>251200.25</v>
      </c>
      <c r="S36" s="40"/>
      <c r="T36" s="40"/>
      <c r="U36" s="43"/>
      <c r="W36" s="1"/>
      <c r="X36" s="2" t="s">
        <v>312</v>
      </c>
      <c r="Y36" s="2"/>
      <c r="Z36" s="2"/>
      <c r="AA36" s="2"/>
      <c r="AB36" s="3"/>
      <c r="AC36" s="3">
        <f t="shared" si="17"/>
        <v>0</v>
      </c>
      <c r="AD36" s="4">
        <f t="shared" si="18"/>
        <v>0</v>
      </c>
      <c r="AE36" s="4">
        <f t="shared" si="19"/>
        <v>0</v>
      </c>
      <c r="AF36" s="5">
        <f t="shared" si="20"/>
        <v>0</v>
      </c>
    </row>
    <row r="37" spans="1:32" x14ac:dyDescent="0.25">
      <c r="A37" s="1"/>
      <c r="B37" s="2" t="s">
        <v>253</v>
      </c>
      <c r="C37" s="2"/>
      <c r="D37" s="2"/>
      <c r="E37" s="2"/>
      <c r="F37" s="3"/>
      <c r="G37" s="3">
        <f t="shared" si="0"/>
        <v>0</v>
      </c>
      <c r="H37" s="4">
        <f t="shared" si="1"/>
        <v>0</v>
      </c>
      <c r="I37" s="4">
        <f t="shared" si="2"/>
        <v>0</v>
      </c>
      <c r="J37" s="5">
        <f t="shared" si="3"/>
        <v>0</v>
      </c>
      <c r="L37" s="31">
        <v>45748</v>
      </c>
      <c r="M37" s="34" t="s">
        <v>394</v>
      </c>
      <c r="N37" s="37" t="s">
        <v>395</v>
      </c>
      <c r="O37" s="13" t="s">
        <v>14</v>
      </c>
      <c r="P37" s="2">
        <v>614</v>
      </c>
      <c r="Q37" s="3">
        <v>841.73</v>
      </c>
      <c r="R37" s="4">
        <f t="shared" si="11"/>
        <v>516822.22000000003</v>
      </c>
      <c r="S37" s="38">
        <f>R37+R38+R39</f>
        <v>854995.22</v>
      </c>
      <c r="T37" s="38">
        <f t="shared" ref="T37" si="27">ROUND(S37*0.05,0)</f>
        <v>42750</v>
      </c>
      <c r="U37" s="41">
        <f t="shared" ref="U37" si="28">S37+T37</f>
        <v>897745.22</v>
      </c>
      <c r="W37" s="1"/>
      <c r="X37" s="2" t="s">
        <v>313</v>
      </c>
      <c r="Y37" s="2"/>
      <c r="Z37" s="2"/>
      <c r="AA37" s="2"/>
      <c r="AB37" s="3"/>
      <c r="AC37" s="3">
        <f t="shared" si="17"/>
        <v>0</v>
      </c>
      <c r="AD37" s="4">
        <f t="shared" si="18"/>
        <v>0</v>
      </c>
      <c r="AE37" s="4">
        <f t="shared" si="19"/>
        <v>0</v>
      </c>
      <c r="AF37" s="5">
        <f t="shared" si="20"/>
        <v>0</v>
      </c>
    </row>
    <row r="38" spans="1:32" x14ac:dyDescent="0.25">
      <c r="A38" s="1"/>
      <c r="B38" s="2" t="s">
        <v>254</v>
      </c>
      <c r="C38" s="2"/>
      <c r="D38" s="2"/>
      <c r="E38" s="2"/>
      <c r="F38" s="3"/>
      <c r="G38" s="3">
        <f t="shared" si="0"/>
        <v>0</v>
      </c>
      <c r="H38" s="4">
        <f t="shared" si="1"/>
        <v>0</v>
      </c>
      <c r="I38" s="4">
        <f t="shared" si="2"/>
        <v>0</v>
      </c>
      <c r="J38" s="5">
        <f t="shared" si="3"/>
        <v>0</v>
      </c>
      <c r="L38" s="32"/>
      <c r="M38" s="35"/>
      <c r="N38" s="35"/>
      <c r="O38" s="13" t="s">
        <v>16</v>
      </c>
      <c r="P38" s="2">
        <v>502</v>
      </c>
      <c r="Q38" s="3">
        <f>R38/P38</f>
        <v>669.06972111553785</v>
      </c>
      <c r="R38" s="4">
        <v>335873</v>
      </c>
      <c r="S38" s="39"/>
      <c r="T38" s="39"/>
      <c r="U38" s="42"/>
      <c r="W38" s="1"/>
      <c r="X38" s="2" t="s">
        <v>314</v>
      </c>
      <c r="Y38" s="2"/>
      <c r="Z38" s="2"/>
      <c r="AA38" s="2"/>
      <c r="AB38" s="3"/>
      <c r="AC38" s="3">
        <f t="shared" si="17"/>
        <v>0</v>
      </c>
      <c r="AD38" s="4">
        <f t="shared" si="18"/>
        <v>0</v>
      </c>
      <c r="AE38" s="4">
        <f t="shared" si="19"/>
        <v>0</v>
      </c>
      <c r="AF38" s="5">
        <f t="shared" si="20"/>
        <v>0</v>
      </c>
    </row>
    <row r="39" spans="1:32" x14ac:dyDescent="0.25">
      <c r="A39" s="15" t="s">
        <v>187</v>
      </c>
      <c r="B39" s="2" t="s">
        <v>255</v>
      </c>
      <c r="C39" s="2"/>
      <c r="D39" s="2"/>
      <c r="E39" s="2"/>
      <c r="F39" s="3"/>
      <c r="G39" s="3">
        <f t="shared" si="0"/>
        <v>0</v>
      </c>
      <c r="H39" s="4">
        <f t="shared" si="1"/>
        <v>0</v>
      </c>
      <c r="I39" s="4">
        <f t="shared" si="2"/>
        <v>0</v>
      </c>
      <c r="J39" s="5">
        <f t="shared" si="3"/>
        <v>0</v>
      </c>
      <c r="L39" s="33"/>
      <c r="M39" s="36"/>
      <c r="N39" s="36"/>
      <c r="O39" s="13" t="s">
        <v>15</v>
      </c>
      <c r="P39" s="2">
        <v>4</v>
      </c>
      <c r="Q39" s="3">
        <v>575</v>
      </c>
      <c r="R39" s="4">
        <f t="shared" si="11"/>
        <v>2300</v>
      </c>
      <c r="S39" s="40"/>
      <c r="T39" s="40"/>
      <c r="U39" s="43"/>
      <c r="W39" s="1"/>
      <c r="X39" s="2" t="s">
        <v>315</v>
      </c>
      <c r="Y39" s="2"/>
      <c r="Z39" s="2"/>
      <c r="AA39" s="2"/>
      <c r="AB39" s="3"/>
      <c r="AC39" s="3">
        <f t="shared" si="17"/>
        <v>0</v>
      </c>
      <c r="AD39" s="4">
        <f t="shared" si="18"/>
        <v>0</v>
      </c>
      <c r="AE39" s="4">
        <f t="shared" si="19"/>
        <v>0</v>
      </c>
      <c r="AF39" s="5">
        <f t="shared" si="20"/>
        <v>0</v>
      </c>
    </row>
    <row r="40" spans="1:32" x14ac:dyDescent="0.25">
      <c r="A40" s="1"/>
      <c r="B40" s="2" t="s">
        <v>256</v>
      </c>
      <c r="C40" s="2"/>
      <c r="D40" s="2"/>
      <c r="E40" s="2"/>
      <c r="F40" s="3"/>
      <c r="G40" s="3">
        <f t="shared" si="0"/>
        <v>0</v>
      </c>
      <c r="H40" s="4">
        <f t="shared" si="1"/>
        <v>0</v>
      </c>
      <c r="I40" s="4">
        <f t="shared" si="2"/>
        <v>0</v>
      </c>
      <c r="J40" s="5">
        <f t="shared" si="3"/>
        <v>0</v>
      </c>
      <c r="L40" s="15" t="s">
        <v>187</v>
      </c>
      <c r="M40" s="2" t="s">
        <v>343</v>
      </c>
      <c r="N40" s="2"/>
      <c r="O40" s="2"/>
      <c r="P40" s="2"/>
      <c r="Q40" s="3"/>
      <c r="R40" s="3">
        <f t="shared" si="11"/>
        <v>0</v>
      </c>
      <c r="S40" s="4">
        <f t="shared" si="12"/>
        <v>0</v>
      </c>
      <c r="T40" s="4">
        <f t="shared" si="13"/>
        <v>0</v>
      </c>
      <c r="U40" s="5">
        <f t="shared" si="14"/>
        <v>0</v>
      </c>
      <c r="W40" s="1"/>
      <c r="X40" s="2" t="s">
        <v>316</v>
      </c>
      <c r="Y40" s="2"/>
      <c r="Z40" s="2"/>
      <c r="AA40" s="2"/>
      <c r="AB40" s="3"/>
      <c r="AC40" s="3">
        <f t="shared" si="17"/>
        <v>0</v>
      </c>
      <c r="AD40" s="4">
        <f t="shared" si="18"/>
        <v>0</v>
      </c>
      <c r="AE40" s="4">
        <f t="shared" si="19"/>
        <v>0</v>
      </c>
      <c r="AF40" s="5">
        <f t="shared" si="20"/>
        <v>0</v>
      </c>
    </row>
    <row r="41" spans="1:32" x14ac:dyDescent="0.25">
      <c r="A41" s="1"/>
      <c r="B41" s="2" t="s">
        <v>257</v>
      </c>
      <c r="C41" s="2"/>
      <c r="D41" s="2"/>
      <c r="E41" s="2"/>
      <c r="F41" s="3"/>
      <c r="G41" s="3">
        <f t="shared" si="0"/>
        <v>0</v>
      </c>
      <c r="H41" s="4">
        <f t="shared" si="1"/>
        <v>0</v>
      </c>
      <c r="I41" s="4">
        <f t="shared" si="2"/>
        <v>0</v>
      </c>
      <c r="J41" s="5">
        <f t="shared" si="3"/>
        <v>0</v>
      </c>
      <c r="L41" s="15" t="s">
        <v>386</v>
      </c>
      <c r="M41" s="2" t="s">
        <v>344</v>
      </c>
      <c r="N41" s="2"/>
      <c r="O41" s="2"/>
      <c r="P41" s="2"/>
      <c r="Q41" s="3"/>
      <c r="R41" s="3">
        <f t="shared" si="11"/>
        <v>0</v>
      </c>
      <c r="S41" s="4">
        <f t="shared" si="12"/>
        <v>0</v>
      </c>
      <c r="T41" s="4">
        <f t="shared" si="13"/>
        <v>0</v>
      </c>
      <c r="U41" s="5">
        <f t="shared" si="14"/>
        <v>0</v>
      </c>
      <c r="W41" s="1"/>
      <c r="X41" s="2" t="s">
        <v>317</v>
      </c>
      <c r="Y41" s="2"/>
      <c r="Z41" s="2"/>
      <c r="AA41" s="2"/>
      <c r="AB41" s="3"/>
      <c r="AC41" s="3">
        <f t="shared" si="17"/>
        <v>0</v>
      </c>
      <c r="AD41" s="4">
        <f t="shared" si="18"/>
        <v>0</v>
      </c>
      <c r="AE41" s="4">
        <f t="shared" si="19"/>
        <v>0</v>
      </c>
      <c r="AF41" s="5">
        <f t="shared" si="20"/>
        <v>0</v>
      </c>
    </row>
    <row r="42" spans="1:32" x14ac:dyDescent="0.25">
      <c r="A42" s="1"/>
      <c r="B42" s="2" t="s">
        <v>258</v>
      </c>
      <c r="C42" s="2"/>
      <c r="D42" s="2"/>
      <c r="E42" s="2"/>
      <c r="F42" s="3"/>
      <c r="G42" s="3">
        <f t="shared" si="0"/>
        <v>0</v>
      </c>
      <c r="H42" s="4">
        <f t="shared" si="1"/>
        <v>0</v>
      </c>
      <c r="I42" s="4">
        <f t="shared" si="2"/>
        <v>0</v>
      </c>
      <c r="J42" s="5">
        <f t="shared" si="3"/>
        <v>0</v>
      </c>
      <c r="L42" s="6">
        <v>45749</v>
      </c>
      <c r="M42" s="2" t="s">
        <v>345</v>
      </c>
      <c r="N42" s="13" t="s">
        <v>396</v>
      </c>
      <c r="O42" s="13" t="s">
        <v>14</v>
      </c>
      <c r="P42" s="2">
        <v>2</v>
      </c>
      <c r="Q42" s="3">
        <v>4400</v>
      </c>
      <c r="R42" s="3">
        <f t="shared" si="11"/>
        <v>8800</v>
      </c>
      <c r="S42" s="4">
        <f t="shared" si="12"/>
        <v>8800</v>
      </c>
      <c r="T42" s="4">
        <f t="shared" si="13"/>
        <v>440</v>
      </c>
      <c r="U42" s="5">
        <f t="shared" si="14"/>
        <v>9240</v>
      </c>
      <c r="W42" s="1"/>
      <c r="X42" s="2" t="s">
        <v>318</v>
      </c>
      <c r="Y42" s="2"/>
      <c r="Z42" s="2"/>
      <c r="AA42" s="2"/>
      <c r="AB42" s="3"/>
      <c r="AC42" s="3">
        <f t="shared" si="17"/>
        <v>0</v>
      </c>
      <c r="AD42" s="4">
        <f t="shared" si="18"/>
        <v>0</v>
      </c>
      <c r="AE42" s="4">
        <f t="shared" si="19"/>
        <v>0</v>
      </c>
      <c r="AF42" s="5">
        <f t="shared" si="20"/>
        <v>0</v>
      </c>
    </row>
    <row r="43" spans="1:32" x14ac:dyDescent="0.25">
      <c r="A43" s="1"/>
      <c r="B43" s="2" t="s">
        <v>259</v>
      </c>
      <c r="C43" s="2"/>
      <c r="D43" s="2"/>
      <c r="E43" s="2"/>
      <c r="F43" s="3"/>
      <c r="G43" s="3">
        <f t="shared" si="0"/>
        <v>0</v>
      </c>
      <c r="H43" s="4">
        <f t="shared" si="1"/>
        <v>0</v>
      </c>
      <c r="I43" s="4">
        <f t="shared" si="2"/>
        <v>0</v>
      </c>
      <c r="J43" s="5">
        <f t="shared" si="3"/>
        <v>0</v>
      </c>
      <c r="L43" s="6">
        <v>45754</v>
      </c>
      <c r="M43" s="2" t="s">
        <v>346</v>
      </c>
      <c r="N43" s="13" t="s">
        <v>397</v>
      </c>
      <c r="O43" s="13" t="s">
        <v>14</v>
      </c>
      <c r="P43" s="2">
        <v>1</v>
      </c>
      <c r="Q43" s="3">
        <v>3600</v>
      </c>
      <c r="R43" s="3">
        <f t="shared" si="11"/>
        <v>3600</v>
      </c>
      <c r="S43" s="4">
        <f t="shared" si="12"/>
        <v>3600</v>
      </c>
      <c r="T43" s="4">
        <f t="shared" si="13"/>
        <v>180</v>
      </c>
      <c r="U43" s="5">
        <f t="shared" si="14"/>
        <v>3780</v>
      </c>
      <c r="W43" s="1"/>
      <c r="X43" s="2" t="s">
        <v>319</v>
      </c>
      <c r="Y43" s="2"/>
      <c r="Z43" s="2"/>
      <c r="AA43" s="2"/>
      <c r="AB43" s="3"/>
      <c r="AC43" s="3">
        <f t="shared" si="17"/>
        <v>0</v>
      </c>
      <c r="AD43" s="4">
        <f t="shared" si="18"/>
        <v>0</v>
      </c>
      <c r="AE43" s="4">
        <f t="shared" si="19"/>
        <v>0</v>
      </c>
      <c r="AF43" s="5">
        <f t="shared" si="20"/>
        <v>0</v>
      </c>
    </row>
    <row r="44" spans="1:32" x14ac:dyDescent="0.25">
      <c r="A44" s="1"/>
      <c r="B44" s="2" t="s">
        <v>260</v>
      </c>
      <c r="C44" s="2"/>
      <c r="D44" s="2"/>
      <c r="E44" s="2"/>
      <c r="F44" s="3"/>
      <c r="G44" s="3">
        <f t="shared" si="0"/>
        <v>0</v>
      </c>
      <c r="H44" s="4">
        <f t="shared" si="1"/>
        <v>0</v>
      </c>
      <c r="I44" s="4">
        <f t="shared" si="2"/>
        <v>0</v>
      </c>
      <c r="J44" s="5">
        <f t="shared" si="3"/>
        <v>0</v>
      </c>
      <c r="L44" s="6">
        <v>45754</v>
      </c>
      <c r="M44" s="2" t="s">
        <v>347</v>
      </c>
      <c r="N44" s="13" t="s">
        <v>398</v>
      </c>
      <c r="O44" s="13" t="s">
        <v>14</v>
      </c>
      <c r="P44" s="2">
        <v>1</v>
      </c>
      <c r="Q44" s="3">
        <v>1750</v>
      </c>
      <c r="R44" s="3">
        <f t="shared" si="11"/>
        <v>1750</v>
      </c>
      <c r="S44" s="4">
        <f t="shared" si="12"/>
        <v>1750</v>
      </c>
      <c r="T44" s="4">
        <f t="shared" si="13"/>
        <v>88</v>
      </c>
      <c r="U44" s="5">
        <f t="shared" si="14"/>
        <v>1838</v>
      </c>
      <c r="W44" s="1"/>
      <c r="X44" s="2" t="s">
        <v>320</v>
      </c>
      <c r="Y44" s="2"/>
      <c r="Z44" s="2"/>
      <c r="AA44" s="2"/>
      <c r="AB44" s="3"/>
      <c r="AC44" s="3">
        <f t="shared" si="17"/>
        <v>0</v>
      </c>
      <c r="AD44" s="4">
        <f t="shared" si="18"/>
        <v>0</v>
      </c>
      <c r="AE44" s="4">
        <f t="shared" si="19"/>
        <v>0</v>
      </c>
      <c r="AF44" s="5">
        <f t="shared" si="20"/>
        <v>0</v>
      </c>
    </row>
    <row r="45" spans="1:32" x14ac:dyDescent="0.25">
      <c r="A45" s="1"/>
      <c r="B45" s="2" t="s">
        <v>261</v>
      </c>
      <c r="C45" s="2"/>
      <c r="D45" s="2"/>
      <c r="E45" s="2"/>
      <c r="F45" s="3"/>
      <c r="G45" s="3">
        <f t="shared" si="0"/>
        <v>0</v>
      </c>
      <c r="H45" s="4">
        <f t="shared" si="1"/>
        <v>0</v>
      </c>
      <c r="I45" s="4">
        <f t="shared" si="2"/>
        <v>0</v>
      </c>
      <c r="J45" s="5">
        <f t="shared" si="3"/>
        <v>0</v>
      </c>
      <c r="L45" s="31">
        <v>45755</v>
      </c>
      <c r="M45" s="34" t="s">
        <v>399</v>
      </c>
      <c r="N45" s="37" t="s">
        <v>400</v>
      </c>
      <c r="O45" s="13" t="s">
        <v>16</v>
      </c>
      <c r="P45" s="2">
        <v>1</v>
      </c>
      <c r="Q45" s="3">
        <v>2952</v>
      </c>
      <c r="R45" s="16">
        <f t="shared" si="11"/>
        <v>2952</v>
      </c>
      <c r="S45" s="38">
        <f>R45+R46</f>
        <v>5452</v>
      </c>
      <c r="T45" s="38">
        <f t="shared" si="13"/>
        <v>273</v>
      </c>
      <c r="U45" s="41">
        <f t="shared" si="14"/>
        <v>5725</v>
      </c>
      <c r="W45" s="1"/>
      <c r="X45" s="2" t="s">
        <v>321</v>
      </c>
      <c r="Y45" s="2"/>
      <c r="Z45" s="2"/>
      <c r="AA45" s="2"/>
      <c r="AB45" s="3"/>
      <c r="AC45" s="3">
        <f t="shared" si="17"/>
        <v>0</v>
      </c>
      <c r="AD45" s="4">
        <f t="shared" si="18"/>
        <v>0</v>
      </c>
      <c r="AE45" s="4">
        <f t="shared" si="19"/>
        <v>0</v>
      </c>
      <c r="AF45" s="5">
        <f t="shared" si="20"/>
        <v>0</v>
      </c>
    </row>
    <row r="46" spans="1:32" x14ac:dyDescent="0.25">
      <c r="A46" s="1"/>
      <c r="B46" s="2" t="s">
        <v>262</v>
      </c>
      <c r="C46" s="2"/>
      <c r="D46" s="2"/>
      <c r="E46" s="2"/>
      <c r="F46" s="3"/>
      <c r="G46" s="3">
        <f t="shared" si="0"/>
        <v>0</v>
      </c>
      <c r="H46" s="4">
        <f t="shared" si="1"/>
        <v>0</v>
      </c>
      <c r="I46" s="4">
        <f t="shared" si="2"/>
        <v>0</v>
      </c>
      <c r="J46" s="5">
        <f t="shared" si="3"/>
        <v>0</v>
      </c>
      <c r="L46" s="33"/>
      <c r="M46" s="36"/>
      <c r="N46" s="36"/>
      <c r="O46" s="13" t="s">
        <v>15</v>
      </c>
      <c r="P46" s="2">
        <v>10</v>
      </c>
      <c r="Q46" s="3">
        <v>250</v>
      </c>
      <c r="R46" s="16">
        <f t="shared" si="11"/>
        <v>2500</v>
      </c>
      <c r="S46" s="40"/>
      <c r="T46" s="40"/>
      <c r="U46" s="43"/>
      <c r="W46" s="1"/>
      <c r="X46" s="2" t="s">
        <v>322</v>
      </c>
      <c r="Y46" s="2"/>
      <c r="Z46" s="2"/>
      <c r="AA46" s="2"/>
      <c r="AB46" s="3"/>
      <c r="AC46" s="3">
        <f t="shared" si="17"/>
        <v>0</v>
      </c>
      <c r="AD46" s="4">
        <f t="shared" si="18"/>
        <v>0</v>
      </c>
      <c r="AE46" s="4">
        <f t="shared" si="19"/>
        <v>0</v>
      </c>
      <c r="AF46" s="5">
        <f t="shared" si="20"/>
        <v>0</v>
      </c>
    </row>
    <row r="47" spans="1:32" x14ac:dyDescent="0.25">
      <c r="A47" s="1"/>
      <c r="B47" s="2" t="s">
        <v>263</v>
      </c>
      <c r="C47" s="2"/>
      <c r="D47" s="2"/>
      <c r="E47" s="2"/>
      <c r="F47" s="3"/>
      <c r="G47" s="3">
        <f t="shared" si="0"/>
        <v>0</v>
      </c>
      <c r="H47" s="4">
        <f t="shared" si="1"/>
        <v>0</v>
      </c>
      <c r="I47" s="4">
        <f t="shared" si="2"/>
        <v>0</v>
      </c>
      <c r="J47" s="5">
        <f t="shared" si="3"/>
        <v>0</v>
      </c>
      <c r="L47" s="31">
        <v>45756</v>
      </c>
      <c r="M47" s="34" t="s">
        <v>401</v>
      </c>
      <c r="N47" s="37" t="s">
        <v>402</v>
      </c>
      <c r="O47" s="13" t="s">
        <v>14</v>
      </c>
      <c r="P47" s="2">
        <v>2</v>
      </c>
      <c r="Q47" s="3">
        <v>4800</v>
      </c>
      <c r="R47" s="16">
        <f t="shared" si="11"/>
        <v>9600</v>
      </c>
      <c r="S47" s="38">
        <f>R47+R48</f>
        <v>15550</v>
      </c>
      <c r="T47" s="38">
        <f t="shared" ref="T47" si="29">ROUND(S47*0.05,0)</f>
        <v>778</v>
      </c>
      <c r="U47" s="41">
        <f t="shared" ref="U47" si="30">S47+T47</f>
        <v>16328</v>
      </c>
      <c r="W47" s="1"/>
      <c r="X47" s="2" t="s">
        <v>323</v>
      </c>
      <c r="Y47" s="2"/>
      <c r="Z47" s="2"/>
      <c r="AA47" s="2"/>
      <c r="AB47" s="3"/>
      <c r="AC47" s="3">
        <f t="shared" si="17"/>
        <v>0</v>
      </c>
      <c r="AD47" s="4">
        <f t="shared" si="18"/>
        <v>0</v>
      </c>
      <c r="AE47" s="4">
        <f t="shared" si="19"/>
        <v>0</v>
      </c>
      <c r="AF47" s="5">
        <f t="shared" si="20"/>
        <v>0</v>
      </c>
    </row>
    <row r="48" spans="1:32" x14ac:dyDescent="0.25">
      <c r="A48" s="1"/>
      <c r="B48" s="2" t="s">
        <v>264</v>
      </c>
      <c r="C48" s="2"/>
      <c r="D48" s="2"/>
      <c r="E48" s="2"/>
      <c r="F48" s="3"/>
      <c r="G48" s="3">
        <f t="shared" si="0"/>
        <v>0</v>
      </c>
      <c r="H48" s="4">
        <f t="shared" si="1"/>
        <v>0</v>
      </c>
      <c r="I48" s="4">
        <f t="shared" si="2"/>
        <v>0</v>
      </c>
      <c r="J48" s="5">
        <f t="shared" si="3"/>
        <v>0</v>
      </c>
      <c r="L48" s="33"/>
      <c r="M48" s="36"/>
      <c r="N48" s="36"/>
      <c r="O48" s="13" t="s">
        <v>16</v>
      </c>
      <c r="P48" s="2">
        <v>2</v>
      </c>
      <c r="Q48" s="3">
        <v>2975</v>
      </c>
      <c r="R48" s="16">
        <f t="shared" si="11"/>
        <v>5950</v>
      </c>
      <c r="S48" s="40"/>
      <c r="T48" s="40"/>
      <c r="U48" s="43"/>
      <c r="W48" s="1"/>
      <c r="X48" s="2" t="s">
        <v>324</v>
      </c>
      <c r="Y48" s="2"/>
      <c r="Z48" s="2"/>
      <c r="AA48" s="2"/>
      <c r="AB48" s="3"/>
      <c r="AC48" s="3">
        <f t="shared" si="17"/>
        <v>0</v>
      </c>
      <c r="AD48" s="4">
        <f t="shared" si="18"/>
        <v>0</v>
      </c>
      <c r="AE48" s="4">
        <f t="shared" si="19"/>
        <v>0</v>
      </c>
      <c r="AF48" s="5">
        <f t="shared" si="20"/>
        <v>0</v>
      </c>
    </row>
    <row r="49" spans="1:32" x14ac:dyDescent="0.25">
      <c r="A49" s="1"/>
      <c r="B49" s="2" t="s">
        <v>265</v>
      </c>
      <c r="C49" s="2"/>
      <c r="D49" s="2"/>
      <c r="E49" s="2"/>
      <c r="F49" s="3"/>
      <c r="G49" s="3">
        <f t="shared" si="0"/>
        <v>0</v>
      </c>
      <c r="H49" s="4">
        <f t="shared" si="1"/>
        <v>0</v>
      </c>
      <c r="I49" s="4">
        <f t="shared" si="2"/>
        <v>0</v>
      </c>
      <c r="J49" s="5">
        <f t="shared" si="3"/>
        <v>0</v>
      </c>
      <c r="L49" s="6">
        <v>45756</v>
      </c>
      <c r="M49" s="2" t="s">
        <v>348</v>
      </c>
      <c r="N49" s="13" t="s">
        <v>403</v>
      </c>
      <c r="O49" s="13" t="s">
        <v>14</v>
      </c>
      <c r="P49" s="2">
        <v>11</v>
      </c>
      <c r="Q49" s="3">
        <v>2300</v>
      </c>
      <c r="R49" s="3">
        <f t="shared" si="11"/>
        <v>25300</v>
      </c>
      <c r="S49" s="4">
        <f t="shared" si="12"/>
        <v>25300</v>
      </c>
      <c r="T49" s="4">
        <f t="shared" si="13"/>
        <v>1265</v>
      </c>
      <c r="U49" s="5">
        <f t="shared" si="14"/>
        <v>26565</v>
      </c>
      <c r="W49" s="1"/>
      <c r="X49" s="2" t="s">
        <v>325</v>
      </c>
      <c r="Y49" s="2"/>
      <c r="Z49" s="2"/>
      <c r="AA49" s="2"/>
      <c r="AB49" s="3"/>
      <c r="AC49" s="3">
        <f t="shared" si="17"/>
        <v>0</v>
      </c>
      <c r="AD49" s="4">
        <f t="shared" si="18"/>
        <v>0</v>
      </c>
      <c r="AE49" s="4">
        <f t="shared" si="19"/>
        <v>0</v>
      </c>
      <c r="AF49" s="5">
        <f t="shared" si="20"/>
        <v>0</v>
      </c>
    </row>
    <row r="50" spans="1:32" x14ac:dyDescent="0.25">
      <c r="A50" s="1"/>
      <c r="B50" s="2" t="s">
        <v>266</v>
      </c>
      <c r="C50" s="2"/>
      <c r="D50" s="2"/>
      <c r="E50" s="2"/>
      <c r="F50" s="3"/>
      <c r="G50" s="3">
        <f t="shared" si="0"/>
        <v>0</v>
      </c>
      <c r="H50" s="4">
        <f t="shared" si="1"/>
        <v>0</v>
      </c>
      <c r="I50" s="4">
        <f t="shared" si="2"/>
        <v>0</v>
      </c>
      <c r="J50" s="5">
        <f t="shared" si="3"/>
        <v>0</v>
      </c>
      <c r="L50" s="31">
        <v>45756</v>
      </c>
      <c r="M50" s="34" t="s">
        <v>419</v>
      </c>
      <c r="N50" s="37" t="s">
        <v>420</v>
      </c>
      <c r="O50" s="13" t="s">
        <v>14</v>
      </c>
      <c r="P50" s="2">
        <v>2</v>
      </c>
      <c r="Q50" s="3">
        <v>5750</v>
      </c>
      <c r="R50" s="16">
        <f t="shared" si="11"/>
        <v>11500</v>
      </c>
      <c r="S50" s="38">
        <f>R50+R51</f>
        <v>16900</v>
      </c>
      <c r="T50" s="38">
        <f t="shared" si="13"/>
        <v>845</v>
      </c>
      <c r="U50" s="41">
        <f t="shared" si="14"/>
        <v>17745</v>
      </c>
      <c r="W50" s="1"/>
      <c r="X50" s="2" t="s">
        <v>326</v>
      </c>
      <c r="Y50" s="2"/>
      <c r="Z50" s="2"/>
      <c r="AA50" s="2"/>
      <c r="AB50" s="3"/>
      <c r="AC50" s="3">
        <f t="shared" si="17"/>
        <v>0</v>
      </c>
      <c r="AD50" s="4">
        <f t="shared" si="18"/>
        <v>0</v>
      </c>
      <c r="AE50" s="4">
        <f t="shared" si="19"/>
        <v>0</v>
      </c>
      <c r="AF50" s="5">
        <f t="shared" si="20"/>
        <v>0</v>
      </c>
    </row>
    <row r="51" spans="1:32" x14ac:dyDescent="0.25">
      <c r="A51" s="1"/>
      <c r="B51" s="2" t="s">
        <v>267</v>
      </c>
      <c r="C51" s="2"/>
      <c r="D51" s="2"/>
      <c r="E51" s="2"/>
      <c r="F51" s="3"/>
      <c r="G51" s="3">
        <f t="shared" si="0"/>
        <v>0</v>
      </c>
      <c r="H51" s="4">
        <f t="shared" si="1"/>
        <v>0</v>
      </c>
      <c r="I51" s="4">
        <f t="shared" si="2"/>
        <v>0</v>
      </c>
      <c r="J51" s="5">
        <f t="shared" si="3"/>
        <v>0</v>
      </c>
      <c r="L51" s="33"/>
      <c r="M51" s="36"/>
      <c r="N51" s="36"/>
      <c r="O51" s="13" t="s">
        <v>16</v>
      </c>
      <c r="P51" s="2">
        <v>2</v>
      </c>
      <c r="Q51" s="3">
        <v>2700</v>
      </c>
      <c r="R51" s="16">
        <f t="shared" si="11"/>
        <v>5400</v>
      </c>
      <c r="S51" s="40"/>
      <c r="T51" s="40"/>
      <c r="U51" s="43"/>
      <c r="W51" s="1"/>
      <c r="X51" s="2" t="s">
        <v>327</v>
      </c>
      <c r="Y51" s="2"/>
      <c r="Z51" s="2"/>
      <c r="AA51" s="2"/>
      <c r="AB51" s="3"/>
      <c r="AC51" s="3">
        <f t="shared" si="17"/>
        <v>0</v>
      </c>
      <c r="AD51" s="4">
        <f t="shared" si="18"/>
        <v>0</v>
      </c>
      <c r="AE51" s="4">
        <f t="shared" si="19"/>
        <v>0</v>
      </c>
      <c r="AF51" s="5">
        <f t="shared" si="20"/>
        <v>0</v>
      </c>
    </row>
    <row r="52" spans="1:32" ht="16.5" thickBot="1" x14ac:dyDescent="0.3">
      <c r="A52" s="1"/>
      <c r="B52" s="2" t="s">
        <v>268</v>
      </c>
      <c r="C52" s="2"/>
      <c r="D52" s="2"/>
      <c r="E52" s="2"/>
      <c r="F52" s="3"/>
      <c r="G52" s="3">
        <f t="shared" si="0"/>
        <v>0</v>
      </c>
      <c r="H52" s="4">
        <f t="shared" si="1"/>
        <v>0</v>
      </c>
      <c r="I52" s="4">
        <f t="shared" si="2"/>
        <v>0</v>
      </c>
      <c r="J52" s="5">
        <f t="shared" si="3"/>
        <v>0</v>
      </c>
      <c r="L52" s="1"/>
      <c r="M52" s="2" t="s">
        <v>349</v>
      </c>
      <c r="N52" s="2"/>
      <c r="O52" s="2"/>
      <c r="P52" s="2"/>
      <c r="Q52" s="3"/>
      <c r="R52" s="3">
        <f t="shared" si="11"/>
        <v>0</v>
      </c>
      <c r="S52" s="4">
        <f t="shared" si="12"/>
        <v>0</v>
      </c>
      <c r="T52" s="4">
        <f t="shared" si="13"/>
        <v>0</v>
      </c>
      <c r="U52" s="5">
        <f t="shared" si="14"/>
        <v>0</v>
      </c>
      <c r="W52" s="7"/>
      <c r="X52" s="2" t="s">
        <v>328</v>
      </c>
      <c r="Y52" s="8"/>
      <c r="Z52" s="8"/>
      <c r="AA52" s="8"/>
      <c r="AB52" s="9"/>
      <c r="AC52" s="9">
        <f t="shared" si="17"/>
        <v>0</v>
      </c>
      <c r="AD52" s="10">
        <f t="shared" si="18"/>
        <v>0</v>
      </c>
      <c r="AE52" s="10">
        <f t="shared" si="19"/>
        <v>0</v>
      </c>
      <c r="AF52" s="11">
        <f t="shared" si="20"/>
        <v>0</v>
      </c>
    </row>
    <row r="53" spans="1:32" x14ac:dyDescent="0.25">
      <c r="A53" s="1"/>
      <c r="B53" s="2" t="s">
        <v>269</v>
      </c>
      <c r="C53" s="2"/>
      <c r="D53" s="2"/>
      <c r="E53" s="2"/>
      <c r="F53" s="3"/>
      <c r="G53" s="3">
        <f t="shared" si="0"/>
        <v>0</v>
      </c>
      <c r="H53" s="4">
        <f t="shared" si="1"/>
        <v>0</v>
      </c>
      <c r="I53" s="4">
        <f t="shared" si="2"/>
        <v>0</v>
      </c>
      <c r="J53" s="5">
        <f t="shared" si="3"/>
        <v>0</v>
      </c>
      <c r="L53" s="31">
        <v>45761</v>
      </c>
      <c r="M53" s="34" t="s">
        <v>404</v>
      </c>
      <c r="N53" s="37" t="s">
        <v>405</v>
      </c>
      <c r="O53" s="13" t="s">
        <v>16</v>
      </c>
      <c r="P53" s="2">
        <v>180</v>
      </c>
      <c r="Q53" s="3">
        <v>1780</v>
      </c>
      <c r="R53" s="16">
        <f t="shared" si="11"/>
        <v>320400</v>
      </c>
      <c r="S53" s="38">
        <f>R53+R54</f>
        <v>320600</v>
      </c>
      <c r="T53" s="38">
        <f t="shared" si="13"/>
        <v>16030</v>
      </c>
      <c r="U53" s="41">
        <f t="shared" si="14"/>
        <v>336630</v>
      </c>
      <c r="X53" s="2"/>
      <c r="AE53" s="14">
        <f>SUM(AE5:AE52)</f>
        <v>96440</v>
      </c>
    </row>
    <row r="54" spans="1:32" x14ac:dyDescent="0.25">
      <c r="A54" s="1"/>
      <c r="B54" s="2" t="s">
        <v>270</v>
      </c>
      <c r="C54" s="2"/>
      <c r="D54" s="2"/>
      <c r="E54" s="2"/>
      <c r="F54" s="3"/>
      <c r="G54" s="3">
        <f t="shared" si="0"/>
        <v>0</v>
      </c>
      <c r="H54" s="4">
        <f t="shared" si="1"/>
        <v>0</v>
      </c>
      <c r="I54" s="4">
        <f t="shared" si="2"/>
        <v>0</v>
      </c>
      <c r="J54" s="5">
        <f t="shared" si="3"/>
        <v>0</v>
      </c>
      <c r="L54" s="33"/>
      <c r="M54" s="36"/>
      <c r="N54" s="36"/>
      <c r="O54" s="13" t="s">
        <v>15</v>
      </c>
      <c r="P54" s="2">
        <v>1</v>
      </c>
      <c r="Q54" s="3">
        <v>200</v>
      </c>
      <c r="R54" s="16">
        <f t="shared" si="11"/>
        <v>200</v>
      </c>
      <c r="S54" s="40"/>
      <c r="T54" s="40"/>
      <c r="U54" s="43"/>
    </row>
    <row r="55" spans="1:32" ht="16.5" thickBot="1" x14ac:dyDescent="0.3">
      <c r="A55" s="7"/>
      <c r="B55" s="2" t="s">
        <v>271</v>
      </c>
      <c r="C55" s="8"/>
      <c r="D55" s="8"/>
      <c r="E55" s="8"/>
      <c r="F55" s="9"/>
      <c r="G55" s="9">
        <f t="shared" si="0"/>
        <v>0</v>
      </c>
      <c r="H55" s="10">
        <f t="shared" si="1"/>
        <v>0</v>
      </c>
      <c r="I55" s="10">
        <f t="shared" si="2"/>
        <v>0</v>
      </c>
      <c r="J55" s="11">
        <f t="shared" si="3"/>
        <v>0</v>
      </c>
      <c r="L55" s="6">
        <v>45765</v>
      </c>
      <c r="M55" s="2" t="s">
        <v>350</v>
      </c>
      <c r="N55" s="13" t="s">
        <v>406</v>
      </c>
      <c r="O55" s="13" t="s">
        <v>407</v>
      </c>
      <c r="P55" s="2">
        <v>1</v>
      </c>
      <c r="Q55" s="3">
        <v>2780</v>
      </c>
      <c r="R55" s="3">
        <f t="shared" si="11"/>
        <v>2780</v>
      </c>
      <c r="S55" s="4">
        <f t="shared" si="12"/>
        <v>2780</v>
      </c>
      <c r="T55" s="4">
        <f t="shared" si="13"/>
        <v>139</v>
      </c>
      <c r="U55" s="5">
        <f t="shared" si="14"/>
        <v>2919</v>
      </c>
    </row>
    <row r="56" spans="1:32" ht="16.5" thickBot="1" x14ac:dyDescent="0.3">
      <c r="I56" s="14">
        <f>SUM(I3:I55)</f>
        <v>209865</v>
      </c>
      <c r="L56" s="1"/>
      <c r="M56" s="2" t="s">
        <v>351</v>
      </c>
      <c r="N56" s="2"/>
      <c r="O56" s="2"/>
      <c r="P56" s="2"/>
      <c r="Q56" s="3"/>
      <c r="R56" s="3">
        <f t="shared" si="11"/>
        <v>0</v>
      </c>
      <c r="S56" s="4">
        <f t="shared" si="12"/>
        <v>0</v>
      </c>
      <c r="T56" s="4">
        <f t="shared" si="13"/>
        <v>0</v>
      </c>
      <c r="U56" s="5">
        <f t="shared" si="14"/>
        <v>0</v>
      </c>
    </row>
    <row r="57" spans="1:32" x14ac:dyDescent="0.25">
      <c r="A57" s="50" t="s">
        <v>20</v>
      </c>
      <c r="B57" s="29"/>
      <c r="C57" s="29"/>
      <c r="D57" s="29"/>
      <c r="E57" s="29"/>
      <c r="F57" s="29"/>
      <c r="G57" s="29"/>
      <c r="H57" s="29"/>
      <c r="I57" s="29"/>
      <c r="J57" s="29"/>
      <c r="L57" s="1"/>
      <c r="M57" s="2" t="s">
        <v>352</v>
      </c>
      <c r="N57" s="2"/>
      <c r="O57" s="2"/>
      <c r="P57" s="2"/>
      <c r="Q57" s="3"/>
      <c r="R57" s="3">
        <f t="shared" si="11"/>
        <v>0</v>
      </c>
      <c r="S57" s="4">
        <f t="shared" si="12"/>
        <v>0</v>
      </c>
      <c r="T57" s="4">
        <f t="shared" si="13"/>
        <v>0</v>
      </c>
      <c r="U57" s="5">
        <f t="shared" si="14"/>
        <v>0</v>
      </c>
    </row>
    <row r="58" spans="1:32" x14ac:dyDescent="0.25">
      <c r="A58" s="1" t="s">
        <v>1</v>
      </c>
      <c r="B58" s="2" t="s">
        <v>2</v>
      </c>
      <c r="C58" s="2" t="s">
        <v>3</v>
      </c>
      <c r="D58" s="2" t="s">
        <v>4</v>
      </c>
      <c r="E58" s="2" t="s">
        <v>5</v>
      </c>
      <c r="F58" s="3" t="s">
        <v>6</v>
      </c>
      <c r="G58" s="3" t="s">
        <v>7</v>
      </c>
      <c r="H58" s="4" t="s">
        <v>12</v>
      </c>
      <c r="I58" s="4" t="s">
        <v>9</v>
      </c>
      <c r="J58" s="4" t="s">
        <v>13</v>
      </c>
      <c r="L58" s="1"/>
      <c r="M58" s="2" t="s">
        <v>353</v>
      </c>
      <c r="N58" s="2"/>
      <c r="O58" s="2"/>
      <c r="P58" s="2"/>
      <c r="Q58" s="3"/>
      <c r="R58" s="3">
        <f t="shared" si="11"/>
        <v>0</v>
      </c>
      <c r="S58" s="4">
        <f t="shared" si="12"/>
        <v>0</v>
      </c>
      <c r="T58" s="4">
        <f t="shared" si="13"/>
        <v>0</v>
      </c>
      <c r="U58" s="5">
        <f t="shared" si="14"/>
        <v>0</v>
      </c>
    </row>
    <row r="59" spans="1:32" x14ac:dyDescent="0.25">
      <c r="A59" s="6">
        <v>45721</v>
      </c>
      <c r="B59" s="2" t="s">
        <v>272</v>
      </c>
      <c r="C59" s="2"/>
      <c r="D59" s="13" t="s">
        <v>14</v>
      </c>
      <c r="E59" s="2">
        <v>5</v>
      </c>
      <c r="F59" s="3">
        <v>2366</v>
      </c>
      <c r="G59" s="3">
        <f t="shared" ref="G59:G64" si="31">E59*F59</f>
        <v>11830</v>
      </c>
      <c r="H59" s="4">
        <f t="shared" ref="H59:H64" si="32">G59</f>
        <v>11830</v>
      </c>
      <c r="I59" s="12">
        <f>H59-ROUND(H59/1.05,0)</f>
        <v>563</v>
      </c>
      <c r="J59" s="4"/>
      <c r="L59" s="1"/>
      <c r="M59" s="2" t="s">
        <v>354</v>
      </c>
      <c r="N59" s="2"/>
      <c r="O59" s="2"/>
      <c r="P59" s="2"/>
      <c r="Q59" s="3"/>
      <c r="R59" s="3">
        <f t="shared" si="11"/>
        <v>0</v>
      </c>
      <c r="S59" s="4">
        <f t="shared" si="12"/>
        <v>0</v>
      </c>
      <c r="T59" s="4">
        <f t="shared" si="13"/>
        <v>0</v>
      </c>
      <c r="U59" s="5">
        <f t="shared" si="14"/>
        <v>0</v>
      </c>
    </row>
    <row r="60" spans="1:32" x14ac:dyDescent="0.25">
      <c r="A60" s="6">
        <v>45741</v>
      </c>
      <c r="B60" s="2" t="s">
        <v>273</v>
      </c>
      <c r="C60" s="2"/>
      <c r="D60" s="13" t="s">
        <v>14</v>
      </c>
      <c r="E60" s="2">
        <v>5</v>
      </c>
      <c r="F60" s="3">
        <v>2366</v>
      </c>
      <c r="G60" s="3">
        <f t="shared" si="31"/>
        <v>11830</v>
      </c>
      <c r="H60" s="4">
        <f t="shared" si="32"/>
        <v>11830</v>
      </c>
      <c r="I60" s="12">
        <f t="shared" ref="I60:I64" si="33">H60-ROUND(H60/1.05,0)</f>
        <v>563</v>
      </c>
      <c r="J60" s="4"/>
      <c r="L60" s="1"/>
      <c r="M60" s="2" t="s">
        <v>355</v>
      </c>
      <c r="N60" s="2"/>
      <c r="O60" s="2"/>
      <c r="P60" s="2"/>
      <c r="Q60" s="3"/>
      <c r="R60" s="3">
        <f t="shared" si="11"/>
        <v>0</v>
      </c>
      <c r="S60" s="4">
        <f t="shared" si="12"/>
        <v>0</v>
      </c>
      <c r="T60" s="4">
        <f t="shared" si="13"/>
        <v>0</v>
      </c>
      <c r="U60" s="5">
        <f t="shared" si="14"/>
        <v>0</v>
      </c>
    </row>
    <row r="61" spans="1:32" x14ac:dyDescent="0.25">
      <c r="A61" s="6">
        <v>45747</v>
      </c>
      <c r="B61" s="2" t="s">
        <v>274</v>
      </c>
      <c r="C61" s="2"/>
      <c r="D61" s="13" t="s">
        <v>14</v>
      </c>
      <c r="E61" s="2">
        <v>5</v>
      </c>
      <c r="F61" s="3">
        <v>2366</v>
      </c>
      <c r="G61" s="3">
        <f t="shared" si="31"/>
        <v>11830</v>
      </c>
      <c r="H61" s="4">
        <f t="shared" si="32"/>
        <v>11830</v>
      </c>
      <c r="I61" s="12">
        <f t="shared" si="33"/>
        <v>563</v>
      </c>
      <c r="J61" s="4"/>
      <c r="L61" s="1"/>
      <c r="M61" s="2" t="s">
        <v>356</v>
      </c>
      <c r="N61" s="2"/>
      <c r="O61" s="2"/>
      <c r="P61" s="2"/>
      <c r="Q61" s="3"/>
      <c r="R61" s="3">
        <f t="shared" si="11"/>
        <v>0</v>
      </c>
      <c r="S61" s="4">
        <f t="shared" si="12"/>
        <v>0</v>
      </c>
      <c r="T61" s="4">
        <f t="shared" si="13"/>
        <v>0</v>
      </c>
      <c r="U61" s="5">
        <f t="shared" si="14"/>
        <v>0</v>
      </c>
    </row>
    <row r="62" spans="1:32" x14ac:dyDescent="0.25">
      <c r="A62" s="6">
        <v>45768</v>
      </c>
      <c r="B62" s="2" t="s">
        <v>275</v>
      </c>
      <c r="C62" s="2"/>
      <c r="D62" s="13" t="s">
        <v>14</v>
      </c>
      <c r="E62" s="2">
        <v>5</v>
      </c>
      <c r="F62" s="3">
        <v>2366</v>
      </c>
      <c r="G62" s="3">
        <f t="shared" si="31"/>
        <v>11830</v>
      </c>
      <c r="H62" s="4">
        <f t="shared" si="32"/>
        <v>11830</v>
      </c>
      <c r="I62" s="12">
        <f t="shared" si="33"/>
        <v>563</v>
      </c>
      <c r="J62" s="4"/>
      <c r="L62" s="1"/>
      <c r="M62" s="2" t="s">
        <v>357</v>
      </c>
      <c r="N62" s="2"/>
      <c r="O62" s="2"/>
      <c r="P62" s="2"/>
      <c r="Q62" s="3"/>
      <c r="R62" s="3">
        <f t="shared" si="11"/>
        <v>0</v>
      </c>
      <c r="S62" s="4">
        <f t="shared" si="12"/>
        <v>0</v>
      </c>
      <c r="T62" s="4">
        <f t="shared" si="13"/>
        <v>0</v>
      </c>
      <c r="U62" s="5">
        <f t="shared" si="14"/>
        <v>0</v>
      </c>
    </row>
    <row r="63" spans="1:32" x14ac:dyDescent="0.25">
      <c r="A63" s="1"/>
      <c r="B63" s="2" t="s">
        <v>276</v>
      </c>
      <c r="C63" s="2"/>
      <c r="D63" s="2"/>
      <c r="E63" s="2"/>
      <c r="F63" s="3"/>
      <c r="G63" s="3">
        <f t="shared" si="31"/>
        <v>0</v>
      </c>
      <c r="H63" s="4">
        <f t="shared" si="32"/>
        <v>0</v>
      </c>
      <c r="I63" s="12">
        <f t="shared" si="33"/>
        <v>0</v>
      </c>
      <c r="J63" s="4"/>
      <c r="L63" s="1"/>
      <c r="M63" s="2" t="s">
        <v>358</v>
      </c>
      <c r="N63" s="2"/>
      <c r="O63" s="2"/>
      <c r="P63" s="2"/>
      <c r="Q63" s="3"/>
      <c r="R63" s="3">
        <f t="shared" si="11"/>
        <v>0</v>
      </c>
      <c r="S63" s="4">
        <f t="shared" si="12"/>
        <v>0</v>
      </c>
      <c r="T63" s="4">
        <f t="shared" si="13"/>
        <v>0</v>
      </c>
      <c r="U63" s="5">
        <f t="shared" si="14"/>
        <v>0</v>
      </c>
    </row>
    <row r="64" spans="1:32" x14ac:dyDescent="0.25">
      <c r="A64" s="1"/>
      <c r="B64" s="2" t="s">
        <v>277</v>
      </c>
      <c r="C64" s="2"/>
      <c r="D64" s="2"/>
      <c r="E64" s="2"/>
      <c r="F64" s="3"/>
      <c r="G64" s="3">
        <f t="shared" si="31"/>
        <v>0</v>
      </c>
      <c r="H64" s="4">
        <f t="shared" si="32"/>
        <v>0</v>
      </c>
      <c r="I64" s="12">
        <f t="shared" si="33"/>
        <v>0</v>
      </c>
      <c r="J64" s="4"/>
      <c r="L64" s="1"/>
      <c r="M64" s="2" t="s">
        <v>359</v>
      </c>
      <c r="N64" s="2"/>
      <c r="O64" s="2"/>
      <c r="P64" s="2"/>
      <c r="Q64" s="3"/>
      <c r="R64" s="3">
        <f t="shared" si="11"/>
        <v>0</v>
      </c>
      <c r="S64" s="4">
        <f t="shared" si="12"/>
        <v>0</v>
      </c>
      <c r="T64" s="4">
        <f t="shared" si="13"/>
        <v>0</v>
      </c>
      <c r="U64" s="5">
        <f t="shared" si="14"/>
        <v>0</v>
      </c>
    </row>
    <row r="65" spans="9:21" x14ac:dyDescent="0.25">
      <c r="I65" s="19">
        <f>SUM(I59:I64)</f>
        <v>2252</v>
      </c>
      <c r="L65" s="1"/>
      <c r="M65" s="2" t="s">
        <v>360</v>
      </c>
      <c r="N65" s="2"/>
      <c r="O65" s="2"/>
      <c r="P65" s="2"/>
      <c r="Q65" s="3"/>
      <c r="R65" s="3">
        <f t="shared" si="11"/>
        <v>0</v>
      </c>
      <c r="S65" s="4">
        <f t="shared" si="12"/>
        <v>0</v>
      </c>
      <c r="T65" s="4">
        <f t="shared" si="13"/>
        <v>0</v>
      </c>
      <c r="U65" s="5">
        <f t="shared" si="14"/>
        <v>0</v>
      </c>
    </row>
    <row r="66" spans="9:21" x14ac:dyDescent="0.25">
      <c r="L66" s="1"/>
      <c r="M66" s="2" t="s">
        <v>361</v>
      </c>
      <c r="N66" s="2"/>
      <c r="O66" s="2"/>
      <c r="P66" s="2"/>
      <c r="Q66" s="3"/>
      <c r="R66" s="3">
        <f t="shared" si="11"/>
        <v>0</v>
      </c>
      <c r="S66" s="4">
        <f t="shared" si="12"/>
        <v>0</v>
      </c>
      <c r="T66" s="4">
        <f t="shared" si="13"/>
        <v>0</v>
      </c>
      <c r="U66" s="5">
        <f t="shared" si="14"/>
        <v>0</v>
      </c>
    </row>
    <row r="67" spans="9:21" x14ac:dyDescent="0.25">
      <c r="L67" s="1"/>
      <c r="M67" s="2" t="s">
        <v>362</v>
      </c>
      <c r="N67" s="2"/>
      <c r="O67" s="2"/>
      <c r="P67" s="2"/>
      <c r="Q67" s="3"/>
      <c r="R67" s="3">
        <f t="shared" si="11"/>
        <v>0</v>
      </c>
      <c r="S67" s="4">
        <f t="shared" si="12"/>
        <v>0</v>
      </c>
      <c r="T67" s="4">
        <f t="shared" si="13"/>
        <v>0</v>
      </c>
      <c r="U67" s="5">
        <f t="shared" si="14"/>
        <v>0</v>
      </c>
    </row>
    <row r="68" spans="9:21" ht="16.5" thickBot="1" x14ac:dyDescent="0.3">
      <c r="L68" s="7"/>
      <c r="M68" s="2" t="s">
        <v>363</v>
      </c>
      <c r="N68" s="8"/>
      <c r="O68" s="8"/>
      <c r="P68" s="8"/>
      <c r="Q68" s="9"/>
      <c r="R68" s="9">
        <f t="shared" si="11"/>
        <v>0</v>
      </c>
      <c r="S68" s="10">
        <f t="shared" si="12"/>
        <v>0</v>
      </c>
      <c r="T68" s="10">
        <f t="shared" si="13"/>
        <v>0</v>
      </c>
      <c r="U68" s="11">
        <f t="shared" si="14"/>
        <v>0</v>
      </c>
    </row>
    <row r="69" spans="9:21" x14ac:dyDescent="0.25">
      <c r="T69" s="14">
        <f>SUM(T3:T68)</f>
        <v>139629</v>
      </c>
    </row>
  </sheetData>
  <mergeCells count="100">
    <mergeCell ref="U53:U54"/>
    <mergeCell ref="A18:A19"/>
    <mergeCell ref="B18:B19"/>
    <mergeCell ref="C18:C19"/>
    <mergeCell ref="H18:H19"/>
    <mergeCell ref="I18:I19"/>
    <mergeCell ref="J18:J19"/>
    <mergeCell ref="L53:L54"/>
    <mergeCell ref="M53:M54"/>
    <mergeCell ref="N53:N54"/>
    <mergeCell ref="S53:S54"/>
    <mergeCell ref="T53:T54"/>
    <mergeCell ref="U45:U46"/>
    <mergeCell ref="L47:L48"/>
    <mergeCell ref="M47:M48"/>
    <mergeCell ref="N47:N48"/>
    <mergeCell ref="S47:S48"/>
    <mergeCell ref="T47:T48"/>
    <mergeCell ref="U47:U48"/>
    <mergeCell ref="L45:L46"/>
    <mergeCell ref="M45:M46"/>
    <mergeCell ref="N45:N46"/>
    <mergeCell ref="S45:S46"/>
    <mergeCell ref="T45:T46"/>
    <mergeCell ref="U35:U36"/>
    <mergeCell ref="L37:L39"/>
    <mergeCell ref="M37:M39"/>
    <mergeCell ref="N37:N39"/>
    <mergeCell ref="S37:S39"/>
    <mergeCell ref="T37:T39"/>
    <mergeCell ref="U37:U39"/>
    <mergeCell ref="L35:L36"/>
    <mergeCell ref="M35:M36"/>
    <mergeCell ref="N35:N36"/>
    <mergeCell ref="S35:S36"/>
    <mergeCell ref="T35:T36"/>
    <mergeCell ref="U26:U27"/>
    <mergeCell ref="L32:L34"/>
    <mergeCell ref="M32:M34"/>
    <mergeCell ref="N32:N34"/>
    <mergeCell ref="S32:S34"/>
    <mergeCell ref="T32:T34"/>
    <mergeCell ref="U32:U34"/>
    <mergeCell ref="L26:L27"/>
    <mergeCell ref="M26:M27"/>
    <mergeCell ref="N26:N27"/>
    <mergeCell ref="S26:S27"/>
    <mergeCell ref="T26:T27"/>
    <mergeCell ref="S11:S12"/>
    <mergeCell ref="T11:T12"/>
    <mergeCell ref="U17:U18"/>
    <mergeCell ref="L13:L14"/>
    <mergeCell ref="M13:M14"/>
    <mergeCell ref="N13:N14"/>
    <mergeCell ref="S13:S14"/>
    <mergeCell ref="T13:T14"/>
    <mergeCell ref="U13:U14"/>
    <mergeCell ref="L17:L18"/>
    <mergeCell ref="M17:M18"/>
    <mergeCell ref="N17:N18"/>
    <mergeCell ref="S17:S18"/>
    <mergeCell ref="T17:T18"/>
    <mergeCell ref="U11:U12"/>
    <mergeCell ref="L11:L12"/>
    <mergeCell ref="A1:J1"/>
    <mergeCell ref="L1:U1"/>
    <mergeCell ref="T3:T5"/>
    <mergeCell ref="U3:U5"/>
    <mergeCell ref="L9:L10"/>
    <mergeCell ref="M9:M10"/>
    <mergeCell ref="N9:N10"/>
    <mergeCell ref="S9:S10"/>
    <mergeCell ref="T9:T10"/>
    <mergeCell ref="U9:U10"/>
    <mergeCell ref="L3:L5"/>
    <mergeCell ref="M3:M5"/>
    <mergeCell ref="N3:N5"/>
    <mergeCell ref="S3:S5"/>
    <mergeCell ref="W1:AF1"/>
    <mergeCell ref="A57:J57"/>
    <mergeCell ref="A5:A6"/>
    <mergeCell ref="B5:B6"/>
    <mergeCell ref="C5:C6"/>
    <mergeCell ref="H5:H6"/>
    <mergeCell ref="I5:I6"/>
    <mergeCell ref="J5:J6"/>
    <mergeCell ref="A7:A8"/>
    <mergeCell ref="B7:B8"/>
    <mergeCell ref="C7:C8"/>
    <mergeCell ref="H7:H8"/>
    <mergeCell ref="I7:I8"/>
    <mergeCell ref="M11:M12"/>
    <mergeCell ref="N11:N12"/>
    <mergeCell ref="J7:J8"/>
    <mergeCell ref="U50:U51"/>
    <mergeCell ref="L50:L51"/>
    <mergeCell ref="M50:M51"/>
    <mergeCell ref="N50:N51"/>
    <mergeCell ref="S50:S51"/>
    <mergeCell ref="T50:T51"/>
  </mergeCells>
  <phoneticPr fontId="4" type="noConversion"/>
  <pageMargins left="0.23622047244094488" right="0.23622047244094488" top="0" bottom="0" header="0" footer="0"/>
  <pageSetup paperSize="9" scale="3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57B6-A730-44AF-B0BC-9DA99F84AF86}">
  <sheetPr>
    <pageSetUpPr fitToPage="1"/>
  </sheetPr>
  <dimension ref="A1:AF69"/>
  <sheetViews>
    <sheetView topLeftCell="C43" workbookViewId="0">
      <selection activeCell="T62" sqref="T62"/>
    </sheetView>
  </sheetViews>
  <sheetFormatPr defaultRowHeight="15.75" x14ac:dyDescent="0.25"/>
  <cols>
    <col min="2" max="2" width="11.75" bestFit="1" customWidth="1"/>
    <col min="6" max="6" width="10.75" bestFit="1" customWidth="1"/>
    <col min="7" max="7" width="11.75" bestFit="1" customWidth="1"/>
    <col min="10" max="10" width="10" bestFit="1" customWidth="1"/>
    <col min="13" max="13" width="11.75" bestFit="1" customWidth="1"/>
    <col min="17" max="17" width="10.75" bestFit="1" customWidth="1"/>
    <col min="18" max="18" width="11.75" bestFit="1" customWidth="1"/>
    <col min="20" max="20" width="9.125" bestFit="1" customWidth="1"/>
    <col min="21" max="21" width="10" bestFit="1" customWidth="1"/>
    <col min="24" max="24" width="11.75" bestFit="1" customWidth="1"/>
    <col min="28" max="28" width="9.625" bestFit="1" customWidth="1"/>
    <col min="29" max="29" width="11.75" bestFit="1" customWidth="1"/>
  </cols>
  <sheetData>
    <row r="1" spans="1:32" x14ac:dyDescent="0.25">
      <c r="A1" s="50" t="s">
        <v>17</v>
      </c>
      <c r="B1" s="29"/>
      <c r="C1" s="29"/>
      <c r="D1" s="29"/>
      <c r="E1" s="29"/>
      <c r="F1" s="29"/>
      <c r="G1" s="29"/>
      <c r="H1" s="29"/>
      <c r="I1" s="29"/>
      <c r="J1" s="30"/>
      <c r="L1" s="50" t="s">
        <v>18</v>
      </c>
      <c r="M1" s="29"/>
      <c r="N1" s="29"/>
      <c r="O1" s="29"/>
      <c r="P1" s="29"/>
      <c r="Q1" s="29"/>
      <c r="R1" s="29"/>
      <c r="S1" s="29"/>
      <c r="T1" s="29"/>
      <c r="U1" s="30"/>
      <c r="W1" s="50" t="s">
        <v>19</v>
      </c>
      <c r="X1" s="29"/>
      <c r="Y1" s="29"/>
      <c r="Z1" s="29"/>
      <c r="AA1" s="29"/>
      <c r="AB1" s="29"/>
      <c r="AC1" s="29"/>
      <c r="AD1" s="29"/>
      <c r="AE1" s="29"/>
      <c r="AF1" s="30"/>
    </row>
    <row r="2" spans="1:32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5" t="s">
        <v>10</v>
      </c>
      <c r="L2" s="1" t="s">
        <v>1</v>
      </c>
      <c r="M2" s="2" t="s">
        <v>2</v>
      </c>
      <c r="N2" s="2" t="s">
        <v>3</v>
      </c>
      <c r="O2" s="2" t="s">
        <v>4</v>
      </c>
      <c r="P2" s="2" t="s">
        <v>5</v>
      </c>
      <c r="Q2" s="3" t="s">
        <v>6</v>
      </c>
      <c r="R2" s="3" t="s">
        <v>7</v>
      </c>
      <c r="S2" s="4" t="s">
        <v>8</v>
      </c>
      <c r="T2" s="4" t="s">
        <v>9</v>
      </c>
      <c r="U2" s="5" t="s">
        <v>10</v>
      </c>
      <c r="W2" s="1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3" t="s">
        <v>6</v>
      </c>
      <c r="AC2" s="3" t="s">
        <v>7</v>
      </c>
      <c r="AD2" s="4" t="s">
        <v>8</v>
      </c>
      <c r="AE2" s="4" t="s">
        <v>9</v>
      </c>
      <c r="AF2" s="5" t="s">
        <v>10</v>
      </c>
    </row>
    <row r="3" spans="1:32" x14ac:dyDescent="0.25">
      <c r="A3" s="6">
        <v>45659</v>
      </c>
      <c r="B3" s="2" t="s">
        <v>76</v>
      </c>
      <c r="C3" s="13" t="s">
        <v>125</v>
      </c>
      <c r="D3" s="13" t="s">
        <v>72</v>
      </c>
      <c r="E3" s="2">
        <v>6</v>
      </c>
      <c r="F3" s="3">
        <v>4746</v>
      </c>
      <c r="G3" s="3">
        <f t="shared" ref="G3:G53" si="0">E3*F3</f>
        <v>28476</v>
      </c>
      <c r="H3" s="4">
        <f t="shared" ref="H3:H53" si="1">G3</f>
        <v>28476</v>
      </c>
      <c r="I3" s="4">
        <f t="shared" ref="I3:I53" si="2">ROUND(H3*0.05,0)</f>
        <v>1424</v>
      </c>
      <c r="J3" s="5">
        <f t="shared" ref="J3:J53" si="3">H3+I3</f>
        <v>29900</v>
      </c>
      <c r="L3" s="6">
        <v>45659</v>
      </c>
      <c r="M3" s="2" t="s">
        <v>130</v>
      </c>
      <c r="N3" s="13" t="s">
        <v>172</v>
      </c>
      <c r="O3" s="13" t="s">
        <v>72</v>
      </c>
      <c r="P3" s="2">
        <v>1</v>
      </c>
      <c r="Q3" s="3">
        <v>4600</v>
      </c>
      <c r="R3" s="3">
        <f t="shared" ref="R3:R60" si="4">P3*Q3</f>
        <v>4600</v>
      </c>
      <c r="S3" s="4">
        <f t="shared" ref="S3:S60" si="5">R3</f>
        <v>4600</v>
      </c>
      <c r="T3" s="4">
        <f t="shared" ref="T3:T60" si="6">ROUND(S3*0.05,0)</f>
        <v>230</v>
      </c>
      <c r="U3" s="5">
        <f t="shared" ref="U3:U60" si="7">S3+T3</f>
        <v>4830</v>
      </c>
      <c r="W3" s="6">
        <v>45659</v>
      </c>
      <c r="X3" s="2" t="s">
        <v>21</v>
      </c>
      <c r="Y3" s="13" t="s">
        <v>71</v>
      </c>
      <c r="Z3" s="13" t="s">
        <v>72</v>
      </c>
      <c r="AA3" s="2">
        <v>58</v>
      </c>
      <c r="AB3" s="3">
        <f>AC3/AA3</f>
        <v>2518.1034482758619</v>
      </c>
      <c r="AC3" s="3">
        <v>146050</v>
      </c>
      <c r="AD3" s="4">
        <f t="shared" ref="AD3:AD52" si="8">AC3</f>
        <v>146050</v>
      </c>
      <c r="AE3" s="4">
        <f t="shared" ref="AE3:AE52" si="9">ROUND(AD3*0.05,0)</f>
        <v>7303</v>
      </c>
      <c r="AF3" s="5">
        <f t="shared" ref="AF3:AF52" si="10">AD3+AE3</f>
        <v>153353</v>
      </c>
    </row>
    <row r="4" spans="1:32" x14ac:dyDescent="0.25">
      <c r="A4" s="6">
        <v>45659</v>
      </c>
      <c r="B4" s="2" t="s">
        <v>77</v>
      </c>
      <c r="C4" s="13" t="s">
        <v>126</v>
      </c>
      <c r="D4" s="13" t="s">
        <v>72</v>
      </c>
      <c r="E4" s="2">
        <v>153</v>
      </c>
      <c r="F4" s="3">
        <f>G4/E4</f>
        <v>3182.7450980392155</v>
      </c>
      <c r="G4" s="3">
        <v>486960</v>
      </c>
      <c r="H4" s="4">
        <f t="shared" si="1"/>
        <v>486960</v>
      </c>
      <c r="I4" s="4">
        <f t="shared" si="2"/>
        <v>24348</v>
      </c>
      <c r="J4" s="5">
        <f t="shared" si="3"/>
        <v>511308</v>
      </c>
      <c r="L4" s="6">
        <v>45659</v>
      </c>
      <c r="M4" s="2" t="s">
        <v>131</v>
      </c>
      <c r="N4" s="13" t="s">
        <v>173</v>
      </c>
      <c r="O4" s="13" t="s">
        <v>72</v>
      </c>
      <c r="P4" s="2">
        <v>3</v>
      </c>
      <c r="Q4" s="3">
        <v>6300</v>
      </c>
      <c r="R4" s="3">
        <f t="shared" si="4"/>
        <v>18900</v>
      </c>
      <c r="S4" s="4">
        <f t="shared" si="5"/>
        <v>18900</v>
      </c>
      <c r="T4" s="4">
        <f t="shared" si="6"/>
        <v>945</v>
      </c>
      <c r="U4" s="5">
        <f t="shared" si="7"/>
        <v>19845</v>
      </c>
      <c r="W4" s="6">
        <v>45659</v>
      </c>
      <c r="X4" s="2" t="s">
        <v>22</v>
      </c>
      <c r="Y4" s="13" t="s">
        <v>73</v>
      </c>
      <c r="Z4" s="13" t="s">
        <v>72</v>
      </c>
      <c r="AA4" s="2">
        <v>185</v>
      </c>
      <c r="AB4" s="3">
        <v>2201.5700000000002</v>
      </c>
      <c r="AC4" s="3">
        <f t="shared" ref="AC4:AC52" si="11">AA4*AB4</f>
        <v>407290.45</v>
      </c>
      <c r="AD4" s="4">
        <f t="shared" si="8"/>
        <v>407290.45</v>
      </c>
      <c r="AE4" s="4">
        <f t="shared" si="9"/>
        <v>20365</v>
      </c>
      <c r="AF4" s="5">
        <f t="shared" si="10"/>
        <v>427655.45</v>
      </c>
    </row>
    <row r="5" spans="1:32" x14ac:dyDescent="0.25">
      <c r="A5" s="6">
        <v>45663</v>
      </c>
      <c r="B5" s="2" t="s">
        <v>78</v>
      </c>
      <c r="C5" s="13" t="s">
        <v>127</v>
      </c>
      <c r="D5" s="13" t="s">
        <v>72</v>
      </c>
      <c r="E5" s="2">
        <v>99</v>
      </c>
      <c r="F5" s="3">
        <v>2378.13</v>
      </c>
      <c r="G5" s="3">
        <f t="shared" si="0"/>
        <v>235434.87000000002</v>
      </c>
      <c r="H5" s="4">
        <f t="shared" si="1"/>
        <v>235434.87000000002</v>
      </c>
      <c r="I5" s="4">
        <f t="shared" si="2"/>
        <v>11772</v>
      </c>
      <c r="J5" s="5">
        <f t="shared" si="3"/>
        <v>247206.87000000002</v>
      </c>
      <c r="L5" s="6">
        <v>45659</v>
      </c>
      <c r="M5" s="2" t="s">
        <v>132</v>
      </c>
      <c r="N5" s="13" t="s">
        <v>174</v>
      </c>
      <c r="O5" s="13" t="s">
        <v>72</v>
      </c>
      <c r="P5" s="2">
        <v>1</v>
      </c>
      <c r="Q5" s="3">
        <v>4160</v>
      </c>
      <c r="R5" s="3">
        <f t="shared" si="4"/>
        <v>4160</v>
      </c>
      <c r="S5" s="4">
        <f t="shared" si="5"/>
        <v>4160</v>
      </c>
      <c r="T5" s="4">
        <f t="shared" si="6"/>
        <v>208</v>
      </c>
      <c r="U5" s="5">
        <f t="shared" si="7"/>
        <v>4368</v>
      </c>
      <c r="W5" s="1"/>
      <c r="X5" s="2" t="s">
        <v>23</v>
      </c>
      <c r="Y5" s="2"/>
      <c r="Z5" s="2"/>
      <c r="AA5" s="2"/>
      <c r="AB5" s="3"/>
      <c r="AC5" s="3">
        <f t="shared" si="11"/>
        <v>0</v>
      </c>
      <c r="AD5" s="4">
        <f t="shared" si="8"/>
        <v>0</v>
      </c>
      <c r="AE5" s="4">
        <f t="shared" si="9"/>
        <v>0</v>
      </c>
      <c r="AF5" s="5">
        <f t="shared" si="10"/>
        <v>0</v>
      </c>
    </row>
    <row r="6" spans="1:32" x14ac:dyDescent="0.25">
      <c r="A6" s="6">
        <v>45670</v>
      </c>
      <c r="B6" s="2" t="s">
        <v>79</v>
      </c>
      <c r="C6" s="13" t="s">
        <v>128</v>
      </c>
      <c r="D6" s="13" t="s">
        <v>129</v>
      </c>
      <c r="E6" s="2">
        <v>20</v>
      </c>
      <c r="F6" s="3">
        <v>120</v>
      </c>
      <c r="G6" s="3">
        <f t="shared" si="0"/>
        <v>2400</v>
      </c>
      <c r="H6" s="4">
        <f t="shared" si="1"/>
        <v>2400</v>
      </c>
      <c r="I6" s="4">
        <f t="shared" si="2"/>
        <v>120</v>
      </c>
      <c r="J6" s="5">
        <f t="shared" si="3"/>
        <v>2520</v>
      </c>
      <c r="L6" s="31">
        <v>45659</v>
      </c>
      <c r="M6" s="34" t="s">
        <v>176</v>
      </c>
      <c r="N6" s="37" t="s">
        <v>175</v>
      </c>
      <c r="O6" s="13" t="s">
        <v>14</v>
      </c>
      <c r="P6" s="2">
        <v>1</v>
      </c>
      <c r="Q6" s="3">
        <v>2700</v>
      </c>
      <c r="R6" s="16">
        <f t="shared" si="4"/>
        <v>2700</v>
      </c>
      <c r="S6" s="38">
        <f>R6+R7</f>
        <v>5500</v>
      </c>
      <c r="T6" s="38">
        <f t="shared" si="6"/>
        <v>275</v>
      </c>
      <c r="U6" s="41">
        <f t="shared" si="7"/>
        <v>5775</v>
      </c>
      <c r="W6" s="6">
        <v>45663</v>
      </c>
      <c r="X6" s="2" t="s">
        <v>24</v>
      </c>
      <c r="Y6" s="13" t="s">
        <v>74</v>
      </c>
      <c r="Z6" s="13" t="s">
        <v>72</v>
      </c>
      <c r="AA6" s="2">
        <v>122</v>
      </c>
      <c r="AB6" s="3">
        <v>2117.38</v>
      </c>
      <c r="AC6" s="3">
        <f t="shared" si="11"/>
        <v>258320.36000000002</v>
      </c>
      <c r="AD6" s="4">
        <f t="shared" si="8"/>
        <v>258320.36000000002</v>
      </c>
      <c r="AE6" s="4">
        <f t="shared" si="9"/>
        <v>12916</v>
      </c>
      <c r="AF6" s="5">
        <f t="shared" si="10"/>
        <v>271236.36</v>
      </c>
    </row>
    <row r="7" spans="1:32" x14ac:dyDescent="0.25">
      <c r="A7" s="6">
        <v>45691</v>
      </c>
      <c r="B7" s="2" t="s">
        <v>80</v>
      </c>
      <c r="C7" s="13" t="s">
        <v>126</v>
      </c>
      <c r="D7" s="13" t="s">
        <v>14</v>
      </c>
      <c r="E7" s="2">
        <v>294</v>
      </c>
      <c r="F7" s="3">
        <f>G7/E7</f>
        <v>2796.2653061224491</v>
      </c>
      <c r="G7" s="3">
        <v>822102</v>
      </c>
      <c r="H7" s="4">
        <f t="shared" si="1"/>
        <v>822102</v>
      </c>
      <c r="I7" s="4">
        <f t="shared" si="2"/>
        <v>41105</v>
      </c>
      <c r="J7" s="5">
        <f t="shared" si="3"/>
        <v>863207</v>
      </c>
      <c r="L7" s="33"/>
      <c r="M7" s="36"/>
      <c r="N7" s="36"/>
      <c r="O7" s="13" t="s">
        <v>16</v>
      </c>
      <c r="P7" s="2">
        <v>1</v>
      </c>
      <c r="Q7" s="3">
        <v>2800</v>
      </c>
      <c r="R7" s="16">
        <f t="shared" si="4"/>
        <v>2800</v>
      </c>
      <c r="S7" s="40"/>
      <c r="T7" s="40"/>
      <c r="U7" s="43"/>
      <c r="W7" s="6">
        <v>45667</v>
      </c>
      <c r="X7" s="2" t="s">
        <v>25</v>
      </c>
      <c r="Y7" s="13" t="s">
        <v>71</v>
      </c>
      <c r="Z7" s="13" t="s">
        <v>72</v>
      </c>
      <c r="AA7" s="2">
        <v>38</v>
      </c>
      <c r="AB7" s="3">
        <f>AC7/AA7</f>
        <v>2843.4210526315787</v>
      </c>
      <c r="AC7" s="3">
        <v>108050</v>
      </c>
      <c r="AD7" s="4">
        <f t="shared" si="8"/>
        <v>108050</v>
      </c>
      <c r="AE7" s="4">
        <f t="shared" si="9"/>
        <v>5403</v>
      </c>
      <c r="AF7" s="5">
        <f t="shared" si="10"/>
        <v>113453</v>
      </c>
    </row>
    <row r="8" spans="1:32" x14ac:dyDescent="0.25">
      <c r="A8" s="6">
        <v>45693</v>
      </c>
      <c r="B8" s="2" t="s">
        <v>81</v>
      </c>
      <c r="C8" s="13" t="s">
        <v>125</v>
      </c>
      <c r="D8" s="13" t="s">
        <v>14</v>
      </c>
      <c r="E8" s="2">
        <v>32</v>
      </c>
      <c r="F8" s="3">
        <v>6342.88</v>
      </c>
      <c r="G8" s="3">
        <f t="shared" si="0"/>
        <v>202972.16</v>
      </c>
      <c r="H8" s="4">
        <f t="shared" si="1"/>
        <v>202972.16</v>
      </c>
      <c r="I8" s="4">
        <f t="shared" si="2"/>
        <v>10149</v>
      </c>
      <c r="J8" s="5">
        <f t="shared" si="3"/>
        <v>213121.16</v>
      </c>
      <c r="L8" s="6">
        <v>45659</v>
      </c>
      <c r="M8" s="2" t="s">
        <v>133</v>
      </c>
      <c r="N8" s="13" t="s">
        <v>177</v>
      </c>
      <c r="O8" s="13" t="s">
        <v>72</v>
      </c>
      <c r="P8" s="2">
        <v>12</v>
      </c>
      <c r="Q8" s="3">
        <v>3408.75</v>
      </c>
      <c r="R8" s="3">
        <f t="shared" si="4"/>
        <v>40905</v>
      </c>
      <c r="S8" s="4">
        <f t="shared" si="5"/>
        <v>40905</v>
      </c>
      <c r="T8" s="4">
        <f t="shared" si="6"/>
        <v>2045</v>
      </c>
      <c r="U8" s="5">
        <f t="shared" si="7"/>
        <v>42950</v>
      </c>
      <c r="W8" s="6">
        <v>45672</v>
      </c>
      <c r="X8" s="2" t="s">
        <v>26</v>
      </c>
      <c r="Y8" s="13" t="s">
        <v>75</v>
      </c>
      <c r="Z8" s="13" t="s">
        <v>72</v>
      </c>
      <c r="AA8" s="2">
        <v>15</v>
      </c>
      <c r="AB8" s="3">
        <v>2300</v>
      </c>
      <c r="AC8" s="3">
        <f t="shared" si="11"/>
        <v>34500</v>
      </c>
      <c r="AD8" s="4">
        <f t="shared" si="8"/>
        <v>34500</v>
      </c>
      <c r="AE8" s="4">
        <f t="shared" si="9"/>
        <v>1725</v>
      </c>
      <c r="AF8" s="5">
        <f t="shared" si="10"/>
        <v>36225</v>
      </c>
    </row>
    <row r="9" spans="1:32" x14ac:dyDescent="0.25">
      <c r="A9" s="6">
        <v>45698</v>
      </c>
      <c r="B9" s="2" t="s">
        <v>82</v>
      </c>
      <c r="C9" s="13" t="s">
        <v>197</v>
      </c>
      <c r="D9" s="13" t="s">
        <v>14</v>
      </c>
      <c r="E9" s="2">
        <v>55</v>
      </c>
      <c r="F9" s="3">
        <v>2318.1799999999998</v>
      </c>
      <c r="G9" s="3">
        <f t="shared" si="0"/>
        <v>127499.9</v>
      </c>
      <c r="H9" s="4">
        <f t="shared" si="1"/>
        <v>127499.9</v>
      </c>
      <c r="I9" s="4">
        <f t="shared" si="2"/>
        <v>6375</v>
      </c>
      <c r="J9" s="5">
        <f t="shared" si="3"/>
        <v>133874.9</v>
      </c>
      <c r="L9" s="6">
        <v>45659</v>
      </c>
      <c r="M9" s="2" t="s">
        <v>134</v>
      </c>
      <c r="N9" s="13" t="s">
        <v>178</v>
      </c>
      <c r="O9" s="13" t="s">
        <v>72</v>
      </c>
      <c r="P9" s="2">
        <v>29</v>
      </c>
      <c r="Q9" s="3">
        <v>2265.52</v>
      </c>
      <c r="R9" s="3">
        <f t="shared" si="4"/>
        <v>65700.08</v>
      </c>
      <c r="S9" s="4">
        <f t="shared" si="5"/>
        <v>65700.08</v>
      </c>
      <c r="T9" s="4">
        <f t="shared" si="6"/>
        <v>3285</v>
      </c>
      <c r="U9" s="5">
        <f t="shared" si="7"/>
        <v>68985.08</v>
      </c>
      <c r="W9" s="6">
        <v>45691</v>
      </c>
      <c r="X9" s="2" t="s">
        <v>27</v>
      </c>
      <c r="Y9" s="13" t="s">
        <v>200</v>
      </c>
      <c r="Z9" s="13" t="s">
        <v>14</v>
      </c>
      <c r="AA9" s="2">
        <v>145</v>
      </c>
      <c r="AB9" s="3">
        <v>2422.7600000000002</v>
      </c>
      <c r="AC9" s="3">
        <f t="shared" si="11"/>
        <v>351300.2</v>
      </c>
      <c r="AD9" s="4">
        <f t="shared" si="8"/>
        <v>351300.2</v>
      </c>
      <c r="AE9" s="4">
        <f t="shared" si="9"/>
        <v>17565</v>
      </c>
      <c r="AF9" s="5">
        <f t="shared" si="10"/>
        <v>368865.2</v>
      </c>
    </row>
    <row r="10" spans="1:32" x14ac:dyDescent="0.25">
      <c r="A10" s="31">
        <v>45699</v>
      </c>
      <c r="B10" s="34" t="s">
        <v>198</v>
      </c>
      <c r="C10" s="37" t="s">
        <v>199</v>
      </c>
      <c r="D10" s="13" t="s">
        <v>14</v>
      </c>
      <c r="E10" s="2">
        <v>6</v>
      </c>
      <c r="F10" s="3">
        <v>2941.67</v>
      </c>
      <c r="G10" s="16">
        <f t="shared" si="0"/>
        <v>17650.02</v>
      </c>
      <c r="H10" s="38">
        <f>G10+G11</f>
        <v>29250.02</v>
      </c>
      <c r="I10" s="38">
        <f t="shared" si="2"/>
        <v>1463</v>
      </c>
      <c r="J10" s="41">
        <f t="shared" si="3"/>
        <v>30713.02</v>
      </c>
      <c r="L10" s="31">
        <v>45659</v>
      </c>
      <c r="M10" s="34" t="s">
        <v>179</v>
      </c>
      <c r="N10" s="37" t="s">
        <v>180</v>
      </c>
      <c r="O10" s="13" t="s">
        <v>14</v>
      </c>
      <c r="P10" s="2">
        <v>2</v>
      </c>
      <c r="Q10" s="3">
        <v>4120</v>
      </c>
      <c r="R10" s="16">
        <f t="shared" si="4"/>
        <v>8240</v>
      </c>
      <c r="S10" s="38">
        <f>R10+R11</f>
        <v>13040</v>
      </c>
      <c r="T10" s="38">
        <f t="shared" si="6"/>
        <v>652</v>
      </c>
      <c r="U10" s="41">
        <f t="shared" si="7"/>
        <v>13692</v>
      </c>
      <c r="W10" s="6">
        <v>45701</v>
      </c>
      <c r="X10" s="2" t="s">
        <v>28</v>
      </c>
      <c r="Y10" s="13" t="s">
        <v>74</v>
      </c>
      <c r="Z10" s="13" t="s">
        <v>14</v>
      </c>
      <c r="AA10" s="2">
        <v>103</v>
      </c>
      <c r="AB10" s="3">
        <v>2183.4</v>
      </c>
      <c r="AC10" s="3">
        <f t="shared" si="11"/>
        <v>224890.2</v>
      </c>
      <c r="AD10" s="4">
        <f t="shared" si="8"/>
        <v>224890.2</v>
      </c>
      <c r="AE10" s="4">
        <f t="shared" si="9"/>
        <v>11245</v>
      </c>
      <c r="AF10" s="5">
        <f t="shared" si="10"/>
        <v>236135.2</v>
      </c>
    </row>
    <row r="11" spans="1:32" x14ac:dyDescent="0.25">
      <c r="A11" s="33"/>
      <c r="B11" s="36"/>
      <c r="C11" s="36"/>
      <c r="D11" s="13" t="s">
        <v>16</v>
      </c>
      <c r="E11" s="2">
        <v>5</v>
      </c>
      <c r="F11" s="3">
        <v>2320</v>
      </c>
      <c r="G11" s="16">
        <f t="shared" si="0"/>
        <v>11600</v>
      </c>
      <c r="H11" s="40"/>
      <c r="I11" s="40"/>
      <c r="J11" s="43"/>
      <c r="L11" s="33"/>
      <c r="M11" s="36"/>
      <c r="N11" s="36"/>
      <c r="O11" s="13" t="s">
        <v>16</v>
      </c>
      <c r="P11" s="2">
        <v>2</v>
      </c>
      <c r="Q11" s="3">
        <v>2400</v>
      </c>
      <c r="R11" s="16">
        <f t="shared" si="4"/>
        <v>4800</v>
      </c>
      <c r="S11" s="40"/>
      <c r="T11" s="40"/>
      <c r="U11" s="43"/>
      <c r="W11" s="6">
        <v>45708</v>
      </c>
      <c r="X11" s="2" t="s">
        <v>29</v>
      </c>
      <c r="Y11" s="13" t="s">
        <v>71</v>
      </c>
      <c r="Z11" s="13" t="s">
        <v>14</v>
      </c>
      <c r="AA11" s="2">
        <v>69</v>
      </c>
      <c r="AB11" s="3">
        <v>2612.9</v>
      </c>
      <c r="AC11" s="3">
        <f t="shared" si="11"/>
        <v>180290.1</v>
      </c>
      <c r="AD11" s="4">
        <f t="shared" si="8"/>
        <v>180290.1</v>
      </c>
      <c r="AE11" s="4">
        <f t="shared" si="9"/>
        <v>9015</v>
      </c>
      <c r="AF11" s="5">
        <f t="shared" si="10"/>
        <v>189305.1</v>
      </c>
    </row>
    <row r="12" spans="1:32" x14ac:dyDescent="0.25">
      <c r="A12" s="6">
        <v>45699</v>
      </c>
      <c r="B12" s="2" t="s">
        <v>83</v>
      </c>
      <c r="C12" s="13" t="s">
        <v>127</v>
      </c>
      <c r="D12" s="13" t="s">
        <v>14</v>
      </c>
      <c r="E12" s="2">
        <v>2</v>
      </c>
      <c r="F12" s="3">
        <v>2585</v>
      </c>
      <c r="G12" s="3">
        <f t="shared" si="0"/>
        <v>5170</v>
      </c>
      <c r="H12" s="4">
        <f t="shared" si="1"/>
        <v>5170</v>
      </c>
      <c r="I12" s="4">
        <f t="shared" si="2"/>
        <v>259</v>
      </c>
      <c r="J12" s="5">
        <f t="shared" si="3"/>
        <v>5429</v>
      </c>
      <c r="L12" s="6">
        <v>45659</v>
      </c>
      <c r="M12" s="2" t="s">
        <v>135</v>
      </c>
      <c r="N12" s="13" t="s">
        <v>181</v>
      </c>
      <c r="O12" s="13" t="s">
        <v>72</v>
      </c>
      <c r="P12" s="2">
        <v>1</v>
      </c>
      <c r="Q12" s="3">
        <v>3936</v>
      </c>
      <c r="R12" s="3">
        <f t="shared" si="4"/>
        <v>3936</v>
      </c>
      <c r="S12" s="4">
        <f t="shared" si="5"/>
        <v>3936</v>
      </c>
      <c r="T12" s="4">
        <f t="shared" si="6"/>
        <v>197</v>
      </c>
      <c r="U12" s="5">
        <f t="shared" si="7"/>
        <v>4133</v>
      </c>
      <c r="W12" s="1"/>
      <c r="X12" s="2" t="s">
        <v>30</v>
      </c>
      <c r="Y12" s="2"/>
      <c r="Z12" s="2"/>
      <c r="AA12" s="2"/>
      <c r="AB12" s="3"/>
      <c r="AC12" s="3">
        <f t="shared" si="11"/>
        <v>0</v>
      </c>
      <c r="AD12" s="4">
        <f t="shared" si="8"/>
        <v>0</v>
      </c>
      <c r="AE12" s="4">
        <f t="shared" si="9"/>
        <v>0</v>
      </c>
      <c r="AF12" s="5">
        <f t="shared" si="10"/>
        <v>0</v>
      </c>
    </row>
    <row r="13" spans="1:32" x14ac:dyDescent="0.25">
      <c r="A13" s="6">
        <v>45709</v>
      </c>
      <c r="B13" s="2" t="s">
        <v>84</v>
      </c>
      <c r="C13" s="13" t="s">
        <v>128</v>
      </c>
      <c r="D13" s="13" t="s">
        <v>15</v>
      </c>
      <c r="E13" s="2">
        <v>20</v>
      </c>
      <c r="F13" s="3">
        <v>120</v>
      </c>
      <c r="G13" s="3">
        <f t="shared" si="0"/>
        <v>2400</v>
      </c>
      <c r="H13" s="4">
        <f t="shared" si="1"/>
        <v>2400</v>
      </c>
      <c r="I13" s="4">
        <f t="shared" si="2"/>
        <v>120</v>
      </c>
      <c r="J13" s="5">
        <f t="shared" si="3"/>
        <v>2520</v>
      </c>
      <c r="L13" s="6">
        <v>45659</v>
      </c>
      <c r="M13" s="2" t="s">
        <v>136</v>
      </c>
      <c r="N13" s="13" t="s">
        <v>201</v>
      </c>
      <c r="O13" s="13" t="s">
        <v>14</v>
      </c>
      <c r="P13" s="2">
        <v>67</v>
      </c>
      <c r="Q13" s="3">
        <v>2300</v>
      </c>
      <c r="R13" s="3">
        <f t="shared" si="4"/>
        <v>154100</v>
      </c>
      <c r="S13" s="4">
        <f t="shared" si="5"/>
        <v>154100</v>
      </c>
      <c r="T13" s="4">
        <f t="shared" si="6"/>
        <v>7705</v>
      </c>
      <c r="U13" s="5">
        <f t="shared" si="7"/>
        <v>161805</v>
      </c>
      <c r="W13" s="1"/>
      <c r="X13" s="2" t="s">
        <v>31</v>
      </c>
      <c r="Y13" s="2"/>
      <c r="Z13" s="2"/>
      <c r="AA13" s="2"/>
      <c r="AB13" s="3"/>
      <c r="AC13" s="3">
        <f t="shared" si="11"/>
        <v>0</v>
      </c>
      <c r="AD13" s="4">
        <f t="shared" si="8"/>
        <v>0</v>
      </c>
      <c r="AE13" s="4">
        <f t="shared" si="9"/>
        <v>0</v>
      </c>
      <c r="AF13" s="5">
        <f t="shared" si="10"/>
        <v>0</v>
      </c>
    </row>
    <row r="14" spans="1:32" x14ac:dyDescent="0.25">
      <c r="A14" s="1"/>
      <c r="B14" s="2" t="s">
        <v>85</v>
      </c>
      <c r="C14" s="2"/>
      <c r="D14" s="2"/>
      <c r="E14" s="2"/>
      <c r="F14" s="3"/>
      <c r="G14" s="3">
        <f t="shared" si="0"/>
        <v>0</v>
      </c>
      <c r="H14" s="4">
        <f t="shared" si="1"/>
        <v>0</v>
      </c>
      <c r="I14" s="4">
        <f t="shared" si="2"/>
        <v>0</v>
      </c>
      <c r="J14" s="5">
        <f t="shared" si="3"/>
        <v>0</v>
      </c>
      <c r="L14" s="6">
        <v>45663</v>
      </c>
      <c r="M14" s="2" t="s">
        <v>137</v>
      </c>
      <c r="N14" s="13" t="s">
        <v>182</v>
      </c>
      <c r="O14" s="13" t="s">
        <v>72</v>
      </c>
      <c r="P14" s="2">
        <v>1</v>
      </c>
      <c r="Q14" s="3">
        <v>2300</v>
      </c>
      <c r="R14" s="3">
        <f t="shared" si="4"/>
        <v>2300</v>
      </c>
      <c r="S14" s="4">
        <f t="shared" si="5"/>
        <v>2300</v>
      </c>
      <c r="T14" s="4">
        <f t="shared" si="6"/>
        <v>115</v>
      </c>
      <c r="U14" s="5">
        <f t="shared" si="7"/>
        <v>2415</v>
      </c>
      <c r="W14" s="1"/>
      <c r="X14" s="2" t="s">
        <v>32</v>
      </c>
      <c r="Y14" s="2"/>
      <c r="Z14" s="2"/>
      <c r="AA14" s="2"/>
      <c r="AB14" s="3"/>
      <c r="AC14" s="3">
        <f t="shared" si="11"/>
        <v>0</v>
      </c>
      <c r="AD14" s="4">
        <f t="shared" si="8"/>
        <v>0</v>
      </c>
      <c r="AE14" s="4">
        <f t="shared" si="9"/>
        <v>0</v>
      </c>
      <c r="AF14" s="5">
        <f t="shared" si="10"/>
        <v>0</v>
      </c>
    </row>
    <row r="15" spans="1:32" x14ac:dyDescent="0.25">
      <c r="A15" s="1"/>
      <c r="B15" s="2" t="s">
        <v>86</v>
      </c>
      <c r="C15" s="2"/>
      <c r="D15" s="2"/>
      <c r="E15" s="2"/>
      <c r="F15" s="3"/>
      <c r="G15" s="3">
        <f t="shared" si="0"/>
        <v>0</v>
      </c>
      <c r="H15" s="4">
        <f t="shared" si="1"/>
        <v>0</v>
      </c>
      <c r="I15" s="4">
        <f t="shared" si="2"/>
        <v>0</v>
      </c>
      <c r="J15" s="5">
        <f t="shared" si="3"/>
        <v>0</v>
      </c>
      <c r="L15" s="6">
        <v>45663</v>
      </c>
      <c r="M15" s="2" t="s">
        <v>138</v>
      </c>
      <c r="N15" s="13" t="s">
        <v>183</v>
      </c>
      <c r="O15" s="13" t="s">
        <v>16</v>
      </c>
      <c r="P15" s="2">
        <v>1</v>
      </c>
      <c r="Q15" s="3">
        <v>2900</v>
      </c>
      <c r="R15" s="3">
        <f t="shared" si="4"/>
        <v>2900</v>
      </c>
      <c r="S15" s="4">
        <f t="shared" si="5"/>
        <v>2900</v>
      </c>
      <c r="T15" s="4">
        <f t="shared" si="6"/>
        <v>145</v>
      </c>
      <c r="U15" s="5">
        <f t="shared" si="7"/>
        <v>3045</v>
      </c>
      <c r="W15" s="1"/>
      <c r="X15" s="2" t="s">
        <v>33</v>
      </c>
      <c r="Y15" s="2"/>
      <c r="Z15" s="2"/>
      <c r="AA15" s="2"/>
      <c r="AB15" s="3"/>
      <c r="AC15" s="3">
        <f t="shared" si="11"/>
        <v>0</v>
      </c>
      <c r="AD15" s="4">
        <f t="shared" si="8"/>
        <v>0</v>
      </c>
      <c r="AE15" s="4">
        <f t="shared" si="9"/>
        <v>0</v>
      </c>
      <c r="AF15" s="5">
        <f t="shared" si="10"/>
        <v>0</v>
      </c>
    </row>
    <row r="16" spans="1:32" x14ac:dyDescent="0.25">
      <c r="A16" s="1"/>
      <c r="B16" s="2" t="s">
        <v>87</v>
      </c>
      <c r="C16" s="2"/>
      <c r="D16" s="2"/>
      <c r="E16" s="2"/>
      <c r="F16" s="3"/>
      <c r="G16" s="3">
        <f t="shared" si="0"/>
        <v>0</v>
      </c>
      <c r="H16" s="4">
        <f t="shared" si="1"/>
        <v>0</v>
      </c>
      <c r="I16" s="4">
        <f t="shared" si="2"/>
        <v>0</v>
      </c>
      <c r="J16" s="5">
        <f t="shared" si="3"/>
        <v>0</v>
      </c>
      <c r="L16" s="31">
        <v>45664</v>
      </c>
      <c r="M16" s="34" t="s">
        <v>184</v>
      </c>
      <c r="N16" s="37" t="s">
        <v>185</v>
      </c>
      <c r="O16" s="13" t="s">
        <v>14</v>
      </c>
      <c r="P16" s="2">
        <v>1</v>
      </c>
      <c r="Q16" s="3">
        <v>4000</v>
      </c>
      <c r="R16" s="16">
        <f t="shared" si="4"/>
        <v>4000</v>
      </c>
      <c r="S16" s="38">
        <f>R16+R17</f>
        <v>5500</v>
      </c>
      <c r="T16" s="38">
        <f t="shared" si="6"/>
        <v>275</v>
      </c>
      <c r="U16" s="41">
        <f t="shared" si="7"/>
        <v>5775</v>
      </c>
      <c r="W16" s="1"/>
      <c r="X16" s="2" t="s">
        <v>34</v>
      </c>
      <c r="Y16" s="2"/>
      <c r="Z16" s="2"/>
      <c r="AA16" s="2"/>
      <c r="AB16" s="3"/>
      <c r="AC16" s="3">
        <f t="shared" si="11"/>
        <v>0</v>
      </c>
      <c r="AD16" s="4">
        <f t="shared" si="8"/>
        <v>0</v>
      </c>
      <c r="AE16" s="4">
        <f t="shared" si="9"/>
        <v>0</v>
      </c>
      <c r="AF16" s="5">
        <f t="shared" si="10"/>
        <v>0</v>
      </c>
    </row>
    <row r="17" spans="1:32" x14ac:dyDescent="0.25">
      <c r="A17" s="1"/>
      <c r="B17" s="2" t="s">
        <v>88</v>
      </c>
      <c r="C17" s="2"/>
      <c r="D17" s="2"/>
      <c r="E17" s="2"/>
      <c r="F17" s="3"/>
      <c r="G17" s="3">
        <f t="shared" si="0"/>
        <v>0</v>
      </c>
      <c r="H17" s="4">
        <f t="shared" si="1"/>
        <v>0</v>
      </c>
      <c r="I17" s="4">
        <f t="shared" si="2"/>
        <v>0</v>
      </c>
      <c r="J17" s="5">
        <f t="shared" si="3"/>
        <v>0</v>
      </c>
      <c r="L17" s="33"/>
      <c r="M17" s="36"/>
      <c r="N17" s="36"/>
      <c r="O17" s="13" t="s">
        <v>16</v>
      </c>
      <c r="P17" s="2">
        <v>1</v>
      </c>
      <c r="Q17" s="3">
        <v>1500</v>
      </c>
      <c r="R17" s="16">
        <f t="shared" si="4"/>
        <v>1500</v>
      </c>
      <c r="S17" s="40"/>
      <c r="T17" s="40"/>
      <c r="U17" s="43"/>
      <c r="W17" s="1"/>
      <c r="X17" s="2" t="s">
        <v>35</v>
      </c>
      <c r="Y17" s="2"/>
      <c r="Z17" s="2"/>
      <c r="AA17" s="2"/>
      <c r="AB17" s="3"/>
      <c r="AC17" s="3">
        <f t="shared" si="11"/>
        <v>0</v>
      </c>
      <c r="AD17" s="4">
        <f t="shared" si="8"/>
        <v>0</v>
      </c>
      <c r="AE17" s="4">
        <f t="shared" si="9"/>
        <v>0</v>
      </c>
      <c r="AF17" s="5">
        <f t="shared" si="10"/>
        <v>0</v>
      </c>
    </row>
    <row r="18" spans="1:32" x14ac:dyDescent="0.25">
      <c r="A18" s="1"/>
      <c r="B18" s="2" t="s">
        <v>89</v>
      </c>
      <c r="C18" s="2"/>
      <c r="D18" s="2"/>
      <c r="E18" s="2"/>
      <c r="F18" s="3"/>
      <c r="G18" s="3">
        <f t="shared" si="0"/>
        <v>0</v>
      </c>
      <c r="H18" s="4">
        <f t="shared" si="1"/>
        <v>0</v>
      </c>
      <c r="I18" s="4">
        <f t="shared" si="2"/>
        <v>0</v>
      </c>
      <c r="J18" s="5">
        <f t="shared" si="3"/>
        <v>0</v>
      </c>
      <c r="L18" s="6">
        <v>45665</v>
      </c>
      <c r="M18" s="2" t="s">
        <v>139</v>
      </c>
      <c r="N18" s="13" t="s">
        <v>186</v>
      </c>
      <c r="O18" s="13" t="s">
        <v>72</v>
      </c>
      <c r="P18" s="2">
        <v>1</v>
      </c>
      <c r="Q18" s="3">
        <v>1700</v>
      </c>
      <c r="R18" s="3">
        <f t="shared" si="4"/>
        <v>1700</v>
      </c>
      <c r="S18" s="4">
        <f t="shared" si="5"/>
        <v>1700</v>
      </c>
      <c r="T18" s="4">
        <f t="shared" si="6"/>
        <v>85</v>
      </c>
      <c r="U18" s="5">
        <f t="shared" si="7"/>
        <v>1785</v>
      </c>
      <c r="W18" s="1"/>
      <c r="X18" s="2" t="s">
        <v>36</v>
      </c>
      <c r="Y18" s="2"/>
      <c r="Z18" s="2"/>
      <c r="AA18" s="2"/>
      <c r="AB18" s="3"/>
      <c r="AC18" s="3">
        <f t="shared" si="11"/>
        <v>0</v>
      </c>
      <c r="AD18" s="4">
        <f t="shared" si="8"/>
        <v>0</v>
      </c>
      <c r="AE18" s="4">
        <f t="shared" si="9"/>
        <v>0</v>
      </c>
      <c r="AF18" s="5">
        <f t="shared" si="10"/>
        <v>0</v>
      </c>
    </row>
    <row r="19" spans="1:32" x14ac:dyDescent="0.25">
      <c r="A19" s="1"/>
      <c r="B19" s="2" t="s">
        <v>90</v>
      </c>
      <c r="C19" s="2"/>
      <c r="D19" s="2"/>
      <c r="E19" s="2"/>
      <c r="F19" s="3"/>
      <c r="G19" s="3">
        <f t="shared" si="0"/>
        <v>0</v>
      </c>
      <c r="H19" s="4">
        <f t="shared" si="1"/>
        <v>0</v>
      </c>
      <c r="I19" s="4">
        <f t="shared" si="2"/>
        <v>0</v>
      </c>
      <c r="J19" s="5">
        <f t="shared" si="3"/>
        <v>0</v>
      </c>
      <c r="L19" s="15" t="s">
        <v>187</v>
      </c>
      <c r="M19" s="2" t="s">
        <v>140</v>
      </c>
      <c r="N19" s="2"/>
      <c r="O19" s="2"/>
      <c r="P19" s="2"/>
      <c r="Q19" s="3"/>
      <c r="R19" s="3">
        <f t="shared" si="4"/>
        <v>0</v>
      </c>
      <c r="S19" s="4">
        <f t="shared" si="5"/>
        <v>0</v>
      </c>
      <c r="T19" s="4">
        <f t="shared" si="6"/>
        <v>0</v>
      </c>
      <c r="U19" s="5">
        <f t="shared" si="7"/>
        <v>0</v>
      </c>
      <c r="W19" s="1"/>
      <c r="X19" s="2" t="s">
        <v>37</v>
      </c>
      <c r="Y19" s="2"/>
      <c r="Z19" s="2"/>
      <c r="AA19" s="2"/>
      <c r="AB19" s="3"/>
      <c r="AC19" s="3">
        <f t="shared" si="11"/>
        <v>0</v>
      </c>
      <c r="AD19" s="4">
        <f t="shared" si="8"/>
        <v>0</v>
      </c>
      <c r="AE19" s="4">
        <f t="shared" si="9"/>
        <v>0</v>
      </c>
      <c r="AF19" s="5">
        <f t="shared" si="10"/>
        <v>0</v>
      </c>
    </row>
    <row r="20" spans="1:32" x14ac:dyDescent="0.25">
      <c r="A20" s="1"/>
      <c r="B20" s="2" t="s">
        <v>91</v>
      </c>
      <c r="C20" s="2"/>
      <c r="D20" s="2"/>
      <c r="E20" s="2"/>
      <c r="F20" s="3"/>
      <c r="G20" s="3">
        <f t="shared" si="0"/>
        <v>0</v>
      </c>
      <c r="H20" s="4">
        <f t="shared" si="1"/>
        <v>0</v>
      </c>
      <c r="I20" s="4">
        <f t="shared" si="2"/>
        <v>0</v>
      </c>
      <c r="J20" s="5">
        <f t="shared" si="3"/>
        <v>0</v>
      </c>
      <c r="L20" s="31">
        <v>45665</v>
      </c>
      <c r="M20" s="34" t="s">
        <v>189</v>
      </c>
      <c r="N20" s="37" t="s">
        <v>188</v>
      </c>
      <c r="O20" s="13" t="s">
        <v>14</v>
      </c>
      <c r="P20" s="2">
        <v>2</v>
      </c>
      <c r="Q20" s="3">
        <v>1750</v>
      </c>
      <c r="R20" s="16">
        <f t="shared" si="4"/>
        <v>3500</v>
      </c>
      <c r="S20" s="38">
        <f>R20+R21</f>
        <v>5250</v>
      </c>
      <c r="T20" s="38">
        <f t="shared" si="6"/>
        <v>263</v>
      </c>
      <c r="U20" s="41">
        <f t="shared" si="7"/>
        <v>5513</v>
      </c>
      <c r="W20" s="1"/>
      <c r="X20" s="2" t="s">
        <v>38</v>
      </c>
      <c r="Y20" s="2"/>
      <c r="Z20" s="2"/>
      <c r="AA20" s="2"/>
      <c r="AB20" s="3"/>
      <c r="AC20" s="3">
        <f t="shared" si="11"/>
        <v>0</v>
      </c>
      <c r="AD20" s="4">
        <f t="shared" si="8"/>
        <v>0</v>
      </c>
      <c r="AE20" s="4">
        <f t="shared" si="9"/>
        <v>0</v>
      </c>
      <c r="AF20" s="5">
        <f t="shared" si="10"/>
        <v>0</v>
      </c>
    </row>
    <row r="21" spans="1:32" x14ac:dyDescent="0.25">
      <c r="A21" s="1"/>
      <c r="B21" s="2" t="s">
        <v>92</v>
      </c>
      <c r="C21" s="2"/>
      <c r="D21" s="2"/>
      <c r="E21" s="2"/>
      <c r="F21" s="3"/>
      <c r="G21" s="3">
        <f t="shared" si="0"/>
        <v>0</v>
      </c>
      <c r="H21" s="4">
        <f t="shared" si="1"/>
        <v>0</v>
      </c>
      <c r="I21" s="4">
        <f t="shared" si="2"/>
        <v>0</v>
      </c>
      <c r="J21" s="5">
        <f t="shared" si="3"/>
        <v>0</v>
      </c>
      <c r="L21" s="33"/>
      <c r="M21" s="36"/>
      <c r="N21" s="36"/>
      <c r="O21" s="13" t="s">
        <v>16</v>
      </c>
      <c r="P21" s="2">
        <v>1</v>
      </c>
      <c r="Q21" s="3">
        <v>1750</v>
      </c>
      <c r="R21" s="16">
        <f t="shared" si="4"/>
        <v>1750</v>
      </c>
      <c r="S21" s="40"/>
      <c r="T21" s="40"/>
      <c r="U21" s="43"/>
      <c r="W21" s="1"/>
      <c r="X21" s="2" t="s">
        <v>39</v>
      </c>
      <c r="Y21" s="2"/>
      <c r="Z21" s="2"/>
      <c r="AA21" s="2"/>
      <c r="AB21" s="3"/>
      <c r="AC21" s="3">
        <f t="shared" si="11"/>
        <v>0</v>
      </c>
      <c r="AD21" s="4">
        <f t="shared" si="8"/>
        <v>0</v>
      </c>
      <c r="AE21" s="4">
        <f t="shared" si="9"/>
        <v>0</v>
      </c>
      <c r="AF21" s="5">
        <f t="shared" si="10"/>
        <v>0</v>
      </c>
    </row>
    <row r="22" spans="1:32" x14ac:dyDescent="0.25">
      <c r="A22" s="1"/>
      <c r="B22" s="2" t="s">
        <v>93</v>
      </c>
      <c r="C22" s="2"/>
      <c r="D22" s="2"/>
      <c r="E22" s="2"/>
      <c r="F22" s="3"/>
      <c r="G22" s="3">
        <f t="shared" si="0"/>
        <v>0</v>
      </c>
      <c r="H22" s="4">
        <f t="shared" si="1"/>
        <v>0</v>
      </c>
      <c r="I22" s="4">
        <f t="shared" si="2"/>
        <v>0</v>
      </c>
      <c r="J22" s="5">
        <f t="shared" si="3"/>
        <v>0</v>
      </c>
      <c r="L22" s="31">
        <v>45672</v>
      </c>
      <c r="M22" s="34" t="s">
        <v>190</v>
      </c>
      <c r="N22" s="37" t="s">
        <v>191</v>
      </c>
      <c r="O22" s="13" t="s">
        <v>14</v>
      </c>
      <c r="P22" s="2">
        <v>6</v>
      </c>
      <c r="Q22" s="3">
        <v>1809.17</v>
      </c>
      <c r="R22" s="16">
        <f t="shared" si="4"/>
        <v>10855.02</v>
      </c>
      <c r="S22" s="38">
        <f>R22+R23</f>
        <v>13785.03</v>
      </c>
      <c r="T22" s="38">
        <f t="shared" ref="T22" si="12">ROUND(S22*0.05,0)</f>
        <v>689</v>
      </c>
      <c r="U22" s="41">
        <f t="shared" ref="U22" si="13">S22+T22</f>
        <v>14474.03</v>
      </c>
      <c r="W22" s="1"/>
      <c r="X22" s="2" t="s">
        <v>40</v>
      </c>
      <c r="Y22" s="2"/>
      <c r="Z22" s="2"/>
      <c r="AA22" s="2"/>
      <c r="AB22" s="3"/>
      <c r="AC22" s="3">
        <f t="shared" si="11"/>
        <v>0</v>
      </c>
      <c r="AD22" s="4">
        <f t="shared" si="8"/>
        <v>0</v>
      </c>
      <c r="AE22" s="4">
        <f t="shared" si="9"/>
        <v>0</v>
      </c>
      <c r="AF22" s="5">
        <f t="shared" si="10"/>
        <v>0</v>
      </c>
    </row>
    <row r="23" spans="1:32" x14ac:dyDescent="0.25">
      <c r="A23" s="1"/>
      <c r="B23" s="2" t="s">
        <v>94</v>
      </c>
      <c r="C23" s="2"/>
      <c r="D23" s="2"/>
      <c r="E23" s="2"/>
      <c r="F23" s="3"/>
      <c r="G23" s="3">
        <f t="shared" si="0"/>
        <v>0</v>
      </c>
      <c r="H23" s="4">
        <f t="shared" si="1"/>
        <v>0</v>
      </c>
      <c r="I23" s="4">
        <f t="shared" si="2"/>
        <v>0</v>
      </c>
      <c r="J23" s="5">
        <f t="shared" si="3"/>
        <v>0</v>
      </c>
      <c r="L23" s="33"/>
      <c r="M23" s="36"/>
      <c r="N23" s="36"/>
      <c r="O23" s="13" t="s">
        <v>16</v>
      </c>
      <c r="P23" s="2">
        <v>3</v>
      </c>
      <c r="Q23" s="3">
        <v>976.67</v>
      </c>
      <c r="R23" s="16">
        <f t="shared" si="4"/>
        <v>2930.0099999999998</v>
      </c>
      <c r="S23" s="40"/>
      <c r="T23" s="40"/>
      <c r="U23" s="43"/>
      <c r="W23" s="1"/>
      <c r="X23" s="2" t="s">
        <v>41</v>
      </c>
      <c r="Y23" s="2"/>
      <c r="Z23" s="2"/>
      <c r="AA23" s="2"/>
      <c r="AB23" s="3"/>
      <c r="AC23" s="3">
        <f t="shared" si="11"/>
        <v>0</v>
      </c>
      <c r="AD23" s="4">
        <f t="shared" si="8"/>
        <v>0</v>
      </c>
      <c r="AE23" s="4">
        <f t="shared" si="9"/>
        <v>0</v>
      </c>
      <c r="AF23" s="5">
        <f t="shared" si="10"/>
        <v>0</v>
      </c>
    </row>
    <row r="24" spans="1:32" x14ac:dyDescent="0.25">
      <c r="A24" s="1"/>
      <c r="B24" s="2" t="s">
        <v>95</v>
      </c>
      <c r="C24" s="2"/>
      <c r="D24" s="2"/>
      <c r="E24" s="2"/>
      <c r="F24" s="3"/>
      <c r="G24" s="3">
        <f t="shared" si="0"/>
        <v>0</v>
      </c>
      <c r="H24" s="4">
        <f t="shared" si="1"/>
        <v>0</v>
      </c>
      <c r="I24" s="4">
        <f t="shared" si="2"/>
        <v>0</v>
      </c>
      <c r="J24" s="5">
        <f t="shared" si="3"/>
        <v>0</v>
      </c>
      <c r="L24" s="6">
        <v>45691</v>
      </c>
      <c r="M24" s="2" t="s">
        <v>141</v>
      </c>
      <c r="N24" s="13" t="s">
        <v>202</v>
      </c>
      <c r="O24" s="13" t="s">
        <v>14</v>
      </c>
      <c r="P24" s="2">
        <v>1</v>
      </c>
      <c r="Q24" s="3">
        <v>10873</v>
      </c>
      <c r="R24" s="3">
        <f t="shared" si="4"/>
        <v>10873</v>
      </c>
      <c r="S24" s="4">
        <f t="shared" si="5"/>
        <v>10873</v>
      </c>
      <c r="T24" s="4">
        <f t="shared" si="6"/>
        <v>544</v>
      </c>
      <c r="U24" s="5">
        <f t="shared" si="7"/>
        <v>11417</v>
      </c>
      <c r="W24" s="1"/>
      <c r="X24" s="2" t="s">
        <v>42</v>
      </c>
      <c r="Y24" s="2"/>
      <c r="Z24" s="2"/>
      <c r="AA24" s="2"/>
      <c r="AB24" s="3"/>
      <c r="AC24" s="3">
        <f t="shared" si="11"/>
        <v>0</v>
      </c>
      <c r="AD24" s="4">
        <f t="shared" si="8"/>
        <v>0</v>
      </c>
      <c r="AE24" s="4">
        <f t="shared" si="9"/>
        <v>0</v>
      </c>
      <c r="AF24" s="5">
        <f t="shared" si="10"/>
        <v>0</v>
      </c>
    </row>
    <row r="25" spans="1:32" x14ac:dyDescent="0.25">
      <c r="A25" s="1"/>
      <c r="B25" s="2" t="s">
        <v>96</v>
      </c>
      <c r="C25" s="2"/>
      <c r="D25" s="2"/>
      <c r="E25" s="2"/>
      <c r="F25" s="3"/>
      <c r="G25" s="3">
        <f t="shared" si="0"/>
        <v>0</v>
      </c>
      <c r="H25" s="4">
        <f t="shared" si="1"/>
        <v>0</v>
      </c>
      <c r="I25" s="4">
        <f t="shared" si="2"/>
        <v>0</v>
      </c>
      <c r="J25" s="5">
        <f t="shared" si="3"/>
        <v>0</v>
      </c>
      <c r="L25" s="6">
        <v>45691</v>
      </c>
      <c r="M25" s="2" t="s">
        <v>142</v>
      </c>
      <c r="N25" s="13" t="s">
        <v>201</v>
      </c>
      <c r="O25" s="13" t="s">
        <v>14</v>
      </c>
      <c r="P25" s="2">
        <v>61</v>
      </c>
      <c r="Q25" s="3">
        <v>2151.64</v>
      </c>
      <c r="R25" s="3">
        <f t="shared" si="4"/>
        <v>131250.03999999998</v>
      </c>
      <c r="S25" s="4">
        <f t="shared" si="5"/>
        <v>131250.03999999998</v>
      </c>
      <c r="T25" s="4">
        <f t="shared" si="6"/>
        <v>6563</v>
      </c>
      <c r="U25" s="5">
        <f t="shared" si="7"/>
        <v>137813.03999999998</v>
      </c>
      <c r="W25" s="1"/>
      <c r="X25" s="2" t="s">
        <v>43</v>
      </c>
      <c r="Y25" s="2"/>
      <c r="Z25" s="2"/>
      <c r="AA25" s="2"/>
      <c r="AB25" s="3"/>
      <c r="AC25" s="3">
        <f t="shared" si="11"/>
        <v>0</v>
      </c>
      <c r="AD25" s="4">
        <f t="shared" si="8"/>
        <v>0</v>
      </c>
      <c r="AE25" s="4">
        <f t="shared" si="9"/>
        <v>0</v>
      </c>
      <c r="AF25" s="5">
        <f t="shared" si="10"/>
        <v>0</v>
      </c>
    </row>
    <row r="26" spans="1:32" x14ac:dyDescent="0.25">
      <c r="A26" s="1"/>
      <c r="B26" s="2" t="s">
        <v>97</v>
      </c>
      <c r="C26" s="2"/>
      <c r="D26" s="2"/>
      <c r="E26" s="2"/>
      <c r="F26" s="3"/>
      <c r="G26" s="3">
        <f t="shared" si="0"/>
        <v>0</v>
      </c>
      <c r="H26" s="4">
        <f t="shared" si="1"/>
        <v>0</v>
      </c>
      <c r="I26" s="4">
        <f t="shared" si="2"/>
        <v>0</v>
      </c>
      <c r="J26" s="5">
        <f t="shared" si="3"/>
        <v>0</v>
      </c>
      <c r="L26" s="6">
        <v>45691</v>
      </c>
      <c r="M26" s="2" t="s">
        <v>143</v>
      </c>
      <c r="N26" s="13" t="s">
        <v>203</v>
      </c>
      <c r="O26" s="13" t="s">
        <v>14</v>
      </c>
      <c r="P26" s="2">
        <v>226</v>
      </c>
      <c r="Q26" s="3">
        <v>1750</v>
      </c>
      <c r="R26" s="3">
        <f t="shared" si="4"/>
        <v>395500</v>
      </c>
      <c r="S26" s="4">
        <f t="shared" si="5"/>
        <v>395500</v>
      </c>
      <c r="T26" s="4">
        <f t="shared" si="6"/>
        <v>19775</v>
      </c>
      <c r="U26" s="5">
        <f t="shared" si="7"/>
        <v>415275</v>
      </c>
      <c r="W26" s="1"/>
      <c r="X26" s="2" t="s">
        <v>44</v>
      </c>
      <c r="Y26" s="2"/>
      <c r="Z26" s="2"/>
      <c r="AA26" s="2"/>
      <c r="AB26" s="3"/>
      <c r="AC26" s="3">
        <f t="shared" si="11"/>
        <v>0</v>
      </c>
      <c r="AD26" s="4">
        <f t="shared" si="8"/>
        <v>0</v>
      </c>
      <c r="AE26" s="4">
        <f t="shared" si="9"/>
        <v>0</v>
      </c>
      <c r="AF26" s="5">
        <f t="shared" si="10"/>
        <v>0</v>
      </c>
    </row>
    <row r="27" spans="1:32" x14ac:dyDescent="0.25">
      <c r="A27" s="1"/>
      <c r="B27" s="2" t="s">
        <v>98</v>
      </c>
      <c r="C27" s="2"/>
      <c r="D27" s="2"/>
      <c r="E27" s="2"/>
      <c r="F27" s="3"/>
      <c r="G27" s="3">
        <f t="shared" si="0"/>
        <v>0</v>
      </c>
      <c r="H27" s="4">
        <f t="shared" si="1"/>
        <v>0</v>
      </c>
      <c r="I27" s="4">
        <f t="shared" si="2"/>
        <v>0</v>
      </c>
      <c r="J27" s="5">
        <f t="shared" si="3"/>
        <v>0</v>
      </c>
      <c r="L27" s="6">
        <v>45691</v>
      </c>
      <c r="M27" s="2" t="s">
        <v>144</v>
      </c>
      <c r="N27" s="13" t="s">
        <v>204</v>
      </c>
      <c r="O27" s="13" t="s">
        <v>14</v>
      </c>
      <c r="P27" s="2">
        <v>2</v>
      </c>
      <c r="Q27" s="3">
        <v>7524</v>
      </c>
      <c r="R27" s="3">
        <f t="shared" si="4"/>
        <v>15048</v>
      </c>
      <c r="S27" s="4">
        <f t="shared" si="5"/>
        <v>15048</v>
      </c>
      <c r="T27" s="4">
        <f t="shared" si="6"/>
        <v>752</v>
      </c>
      <c r="U27" s="5">
        <f t="shared" si="7"/>
        <v>15800</v>
      </c>
      <c r="W27" s="1"/>
      <c r="X27" s="2" t="s">
        <v>45</v>
      </c>
      <c r="Y27" s="2"/>
      <c r="Z27" s="2"/>
      <c r="AA27" s="2"/>
      <c r="AB27" s="3"/>
      <c r="AC27" s="3">
        <f t="shared" si="11"/>
        <v>0</v>
      </c>
      <c r="AD27" s="4">
        <f t="shared" si="8"/>
        <v>0</v>
      </c>
      <c r="AE27" s="4">
        <f t="shared" si="9"/>
        <v>0</v>
      </c>
      <c r="AF27" s="5">
        <f t="shared" si="10"/>
        <v>0</v>
      </c>
    </row>
    <row r="28" spans="1:32" x14ac:dyDescent="0.25">
      <c r="A28" s="1"/>
      <c r="B28" s="2" t="s">
        <v>99</v>
      </c>
      <c r="C28" s="2"/>
      <c r="D28" s="2"/>
      <c r="E28" s="2"/>
      <c r="F28" s="3"/>
      <c r="G28" s="3">
        <f t="shared" si="0"/>
        <v>0</v>
      </c>
      <c r="H28" s="4">
        <f t="shared" si="1"/>
        <v>0</v>
      </c>
      <c r="I28" s="4">
        <f t="shared" si="2"/>
        <v>0</v>
      </c>
      <c r="J28" s="5">
        <f t="shared" si="3"/>
        <v>0</v>
      </c>
      <c r="L28" s="15" t="s">
        <v>214</v>
      </c>
      <c r="M28" s="2" t="s">
        <v>145</v>
      </c>
      <c r="N28" s="13"/>
      <c r="O28" s="13"/>
      <c r="P28" s="2"/>
      <c r="Q28" s="3"/>
      <c r="R28" s="3">
        <f t="shared" si="4"/>
        <v>0</v>
      </c>
      <c r="S28" s="4">
        <f t="shared" si="5"/>
        <v>0</v>
      </c>
      <c r="T28" s="4">
        <f t="shared" si="6"/>
        <v>0</v>
      </c>
      <c r="U28" s="5">
        <f t="shared" si="7"/>
        <v>0</v>
      </c>
      <c r="W28" s="1"/>
      <c r="X28" s="2" t="s">
        <v>46</v>
      </c>
      <c r="Y28" s="2"/>
      <c r="Z28" s="2"/>
      <c r="AA28" s="2"/>
      <c r="AB28" s="3"/>
      <c r="AC28" s="3">
        <f t="shared" si="11"/>
        <v>0</v>
      </c>
      <c r="AD28" s="4">
        <f t="shared" si="8"/>
        <v>0</v>
      </c>
      <c r="AE28" s="4">
        <f t="shared" si="9"/>
        <v>0</v>
      </c>
      <c r="AF28" s="5">
        <f t="shared" si="10"/>
        <v>0</v>
      </c>
    </row>
    <row r="29" spans="1:32" x14ac:dyDescent="0.25">
      <c r="A29" s="1"/>
      <c r="B29" s="2" t="s">
        <v>100</v>
      </c>
      <c r="C29" s="2"/>
      <c r="D29" s="2"/>
      <c r="E29" s="2"/>
      <c r="F29" s="3"/>
      <c r="G29" s="3">
        <f t="shared" si="0"/>
        <v>0</v>
      </c>
      <c r="H29" s="4">
        <f t="shared" si="1"/>
        <v>0</v>
      </c>
      <c r="I29" s="4">
        <f t="shared" si="2"/>
        <v>0</v>
      </c>
      <c r="J29" s="5">
        <f t="shared" si="3"/>
        <v>0</v>
      </c>
      <c r="L29" s="6">
        <v>45691</v>
      </c>
      <c r="M29" s="2" t="s">
        <v>146</v>
      </c>
      <c r="N29" s="13" t="s">
        <v>222</v>
      </c>
      <c r="O29" s="13" t="s">
        <v>223</v>
      </c>
      <c r="P29" s="2">
        <v>2</v>
      </c>
      <c r="Q29" s="3">
        <v>175</v>
      </c>
      <c r="R29" s="3">
        <f t="shared" si="4"/>
        <v>350</v>
      </c>
      <c r="S29" s="4">
        <f t="shared" si="5"/>
        <v>350</v>
      </c>
      <c r="T29" s="4">
        <f t="shared" si="6"/>
        <v>18</v>
      </c>
      <c r="U29" s="5">
        <f t="shared" si="7"/>
        <v>368</v>
      </c>
      <c r="W29" s="1"/>
      <c r="X29" s="2" t="s">
        <v>47</v>
      </c>
      <c r="Y29" s="2"/>
      <c r="Z29" s="2"/>
      <c r="AA29" s="2"/>
      <c r="AB29" s="3"/>
      <c r="AC29" s="3">
        <f t="shared" si="11"/>
        <v>0</v>
      </c>
      <c r="AD29" s="4">
        <f t="shared" si="8"/>
        <v>0</v>
      </c>
      <c r="AE29" s="4">
        <f t="shared" si="9"/>
        <v>0</v>
      </c>
      <c r="AF29" s="5">
        <f t="shared" si="10"/>
        <v>0</v>
      </c>
    </row>
    <row r="30" spans="1:32" x14ac:dyDescent="0.25">
      <c r="A30" s="1"/>
      <c r="B30" s="2" t="s">
        <v>101</v>
      </c>
      <c r="C30" s="2"/>
      <c r="D30" s="2"/>
      <c r="E30" s="2"/>
      <c r="F30" s="3"/>
      <c r="G30" s="3">
        <f t="shared" si="0"/>
        <v>0</v>
      </c>
      <c r="H30" s="4">
        <f t="shared" si="1"/>
        <v>0</v>
      </c>
      <c r="I30" s="4">
        <f t="shared" si="2"/>
        <v>0</v>
      </c>
      <c r="J30" s="5">
        <f t="shared" si="3"/>
        <v>0</v>
      </c>
      <c r="L30" s="6">
        <v>45692</v>
      </c>
      <c r="M30" s="2" t="s">
        <v>147</v>
      </c>
      <c r="N30" s="13" t="s">
        <v>221</v>
      </c>
      <c r="O30" s="13" t="s">
        <v>14</v>
      </c>
      <c r="P30" s="2">
        <v>182</v>
      </c>
      <c r="Q30" s="3">
        <v>2200</v>
      </c>
      <c r="R30" s="3">
        <f t="shared" si="4"/>
        <v>400400</v>
      </c>
      <c r="S30" s="4">
        <f t="shared" si="5"/>
        <v>400400</v>
      </c>
      <c r="T30" s="4">
        <f t="shared" si="6"/>
        <v>20020</v>
      </c>
      <c r="U30" s="5">
        <f t="shared" si="7"/>
        <v>420420</v>
      </c>
      <c r="W30" s="1"/>
      <c r="X30" s="2" t="s">
        <v>48</v>
      </c>
      <c r="Y30" s="2"/>
      <c r="Z30" s="2"/>
      <c r="AA30" s="2"/>
      <c r="AB30" s="3"/>
      <c r="AC30" s="3">
        <f t="shared" si="11"/>
        <v>0</v>
      </c>
      <c r="AD30" s="4">
        <f t="shared" si="8"/>
        <v>0</v>
      </c>
      <c r="AE30" s="4">
        <f t="shared" si="9"/>
        <v>0</v>
      </c>
      <c r="AF30" s="5">
        <f t="shared" si="10"/>
        <v>0</v>
      </c>
    </row>
    <row r="31" spans="1:32" x14ac:dyDescent="0.25">
      <c r="A31" s="1"/>
      <c r="B31" s="2" t="s">
        <v>102</v>
      </c>
      <c r="C31" s="2"/>
      <c r="D31" s="2"/>
      <c r="E31" s="2"/>
      <c r="F31" s="3"/>
      <c r="G31" s="3">
        <f t="shared" si="0"/>
        <v>0</v>
      </c>
      <c r="H31" s="4">
        <f t="shared" si="1"/>
        <v>0</v>
      </c>
      <c r="I31" s="4">
        <f t="shared" si="2"/>
        <v>0</v>
      </c>
      <c r="J31" s="5">
        <f t="shared" si="3"/>
        <v>0</v>
      </c>
      <c r="L31" s="15" t="s">
        <v>214</v>
      </c>
      <c r="M31" s="2" t="s">
        <v>148</v>
      </c>
      <c r="N31" s="2"/>
      <c r="O31" s="2"/>
      <c r="P31" s="2"/>
      <c r="Q31" s="3"/>
      <c r="R31" s="3">
        <f t="shared" si="4"/>
        <v>0</v>
      </c>
      <c r="S31" s="4">
        <f t="shared" si="5"/>
        <v>0</v>
      </c>
      <c r="T31" s="4">
        <f t="shared" si="6"/>
        <v>0</v>
      </c>
      <c r="U31" s="5">
        <f t="shared" si="7"/>
        <v>0</v>
      </c>
      <c r="W31" s="1"/>
      <c r="X31" s="2" t="s">
        <v>49</v>
      </c>
      <c r="Y31" s="2"/>
      <c r="Z31" s="2"/>
      <c r="AA31" s="2"/>
      <c r="AB31" s="3"/>
      <c r="AC31" s="3">
        <f t="shared" si="11"/>
        <v>0</v>
      </c>
      <c r="AD31" s="4">
        <f t="shared" si="8"/>
        <v>0</v>
      </c>
      <c r="AE31" s="4">
        <f t="shared" si="9"/>
        <v>0</v>
      </c>
      <c r="AF31" s="5">
        <f t="shared" si="10"/>
        <v>0</v>
      </c>
    </row>
    <row r="32" spans="1:32" x14ac:dyDescent="0.25">
      <c r="A32" s="1"/>
      <c r="B32" s="2" t="s">
        <v>103</v>
      </c>
      <c r="C32" s="2"/>
      <c r="D32" s="2"/>
      <c r="E32" s="2"/>
      <c r="F32" s="3"/>
      <c r="G32" s="3">
        <f t="shared" si="0"/>
        <v>0</v>
      </c>
      <c r="H32" s="4">
        <f t="shared" si="1"/>
        <v>0</v>
      </c>
      <c r="I32" s="4">
        <f t="shared" si="2"/>
        <v>0</v>
      </c>
      <c r="J32" s="5">
        <f t="shared" si="3"/>
        <v>0</v>
      </c>
      <c r="L32" s="6">
        <v>45692</v>
      </c>
      <c r="M32" s="2" t="s">
        <v>149</v>
      </c>
      <c r="N32" s="13" t="s">
        <v>205</v>
      </c>
      <c r="O32" s="13" t="s">
        <v>14</v>
      </c>
      <c r="P32" s="2">
        <v>1</v>
      </c>
      <c r="Q32" s="3">
        <v>5333</v>
      </c>
      <c r="R32" s="3">
        <f t="shared" si="4"/>
        <v>5333</v>
      </c>
      <c r="S32" s="4">
        <f t="shared" si="5"/>
        <v>5333</v>
      </c>
      <c r="T32" s="4">
        <f t="shared" si="6"/>
        <v>267</v>
      </c>
      <c r="U32" s="5">
        <f t="shared" si="7"/>
        <v>5600</v>
      </c>
      <c r="W32" s="1"/>
      <c r="X32" s="2" t="s">
        <v>50</v>
      </c>
      <c r="Y32" s="2"/>
      <c r="Z32" s="2"/>
      <c r="AA32" s="2"/>
      <c r="AB32" s="3"/>
      <c r="AC32" s="3">
        <f t="shared" si="11"/>
        <v>0</v>
      </c>
      <c r="AD32" s="4">
        <f t="shared" si="8"/>
        <v>0</v>
      </c>
      <c r="AE32" s="4">
        <f t="shared" si="9"/>
        <v>0</v>
      </c>
      <c r="AF32" s="5">
        <f t="shared" si="10"/>
        <v>0</v>
      </c>
    </row>
    <row r="33" spans="1:32" x14ac:dyDescent="0.25">
      <c r="A33" s="1"/>
      <c r="B33" s="2" t="s">
        <v>104</v>
      </c>
      <c r="C33" s="2"/>
      <c r="D33" s="2"/>
      <c r="E33" s="2"/>
      <c r="F33" s="3"/>
      <c r="G33" s="3">
        <f t="shared" si="0"/>
        <v>0</v>
      </c>
      <c r="H33" s="4">
        <f t="shared" si="1"/>
        <v>0</v>
      </c>
      <c r="I33" s="4">
        <f t="shared" si="2"/>
        <v>0</v>
      </c>
      <c r="J33" s="5">
        <f t="shared" si="3"/>
        <v>0</v>
      </c>
      <c r="L33" s="6">
        <v>45694</v>
      </c>
      <c r="M33" s="2" t="s">
        <v>150</v>
      </c>
      <c r="N33" s="13" t="s">
        <v>206</v>
      </c>
      <c r="O33" s="13" t="s">
        <v>14</v>
      </c>
      <c r="P33" s="2">
        <v>65</v>
      </c>
      <c r="Q33" s="3">
        <v>2730.77</v>
      </c>
      <c r="R33" s="3">
        <f t="shared" si="4"/>
        <v>177500.05</v>
      </c>
      <c r="S33" s="4">
        <f t="shared" si="5"/>
        <v>177500.05</v>
      </c>
      <c r="T33" s="4">
        <f t="shared" si="6"/>
        <v>8875</v>
      </c>
      <c r="U33" s="5">
        <f t="shared" si="7"/>
        <v>186375.05</v>
      </c>
      <c r="W33" s="1"/>
      <c r="X33" s="2" t="s">
        <v>51</v>
      </c>
      <c r="Y33" s="2"/>
      <c r="Z33" s="2"/>
      <c r="AA33" s="2"/>
      <c r="AB33" s="3"/>
      <c r="AC33" s="3">
        <f t="shared" si="11"/>
        <v>0</v>
      </c>
      <c r="AD33" s="4">
        <f t="shared" si="8"/>
        <v>0</v>
      </c>
      <c r="AE33" s="4">
        <f t="shared" si="9"/>
        <v>0</v>
      </c>
      <c r="AF33" s="5">
        <f t="shared" si="10"/>
        <v>0</v>
      </c>
    </row>
    <row r="34" spans="1:32" x14ac:dyDescent="0.25">
      <c r="A34" s="1"/>
      <c r="B34" s="2" t="s">
        <v>105</v>
      </c>
      <c r="C34" s="2"/>
      <c r="D34" s="2"/>
      <c r="E34" s="2"/>
      <c r="F34" s="3"/>
      <c r="G34" s="3">
        <f t="shared" si="0"/>
        <v>0</v>
      </c>
      <c r="H34" s="4">
        <f t="shared" si="1"/>
        <v>0</v>
      </c>
      <c r="I34" s="4">
        <f t="shared" si="2"/>
        <v>0</v>
      </c>
      <c r="J34" s="5">
        <f t="shared" si="3"/>
        <v>0</v>
      </c>
      <c r="L34" s="31">
        <v>45694</v>
      </c>
      <c r="M34" s="34" t="s">
        <v>207</v>
      </c>
      <c r="N34" s="37" t="s">
        <v>208</v>
      </c>
      <c r="O34" s="13" t="s">
        <v>14</v>
      </c>
      <c r="P34" s="2">
        <v>20</v>
      </c>
      <c r="Q34" s="3">
        <v>3993.4</v>
      </c>
      <c r="R34" s="16">
        <f t="shared" si="4"/>
        <v>79868</v>
      </c>
      <c r="S34" s="38">
        <f>R34+R35</f>
        <v>310952.84000000003</v>
      </c>
      <c r="T34" s="38">
        <f t="shared" si="6"/>
        <v>15548</v>
      </c>
      <c r="U34" s="41">
        <f t="shared" si="7"/>
        <v>326500.84000000003</v>
      </c>
      <c r="W34" s="1"/>
      <c r="X34" s="2" t="s">
        <v>52</v>
      </c>
      <c r="Y34" s="2"/>
      <c r="Z34" s="2"/>
      <c r="AA34" s="2"/>
      <c r="AB34" s="3"/>
      <c r="AC34" s="3">
        <f t="shared" si="11"/>
        <v>0</v>
      </c>
      <c r="AD34" s="4">
        <f t="shared" si="8"/>
        <v>0</v>
      </c>
      <c r="AE34" s="4">
        <f t="shared" si="9"/>
        <v>0</v>
      </c>
      <c r="AF34" s="5">
        <f t="shared" si="10"/>
        <v>0</v>
      </c>
    </row>
    <row r="35" spans="1:32" x14ac:dyDescent="0.25">
      <c r="A35" s="1"/>
      <c r="B35" s="2" t="s">
        <v>106</v>
      </c>
      <c r="C35" s="2"/>
      <c r="D35" s="2"/>
      <c r="E35" s="2"/>
      <c r="F35" s="3"/>
      <c r="G35" s="3">
        <f t="shared" si="0"/>
        <v>0</v>
      </c>
      <c r="H35" s="4">
        <f t="shared" si="1"/>
        <v>0</v>
      </c>
      <c r="I35" s="4">
        <f t="shared" si="2"/>
        <v>0</v>
      </c>
      <c r="J35" s="5">
        <f t="shared" si="3"/>
        <v>0</v>
      </c>
      <c r="L35" s="33"/>
      <c r="M35" s="36"/>
      <c r="N35" s="36"/>
      <c r="O35" s="13" t="s">
        <v>16</v>
      </c>
      <c r="P35" s="2">
        <v>84</v>
      </c>
      <c r="Q35" s="3">
        <v>2751.01</v>
      </c>
      <c r="R35" s="16">
        <f t="shared" si="4"/>
        <v>231084.84000000003</v>
      </c>
      <c r="S35" s="40"/>
      <c r="T35" s="40"/>
      <c r="U35" s="43"/>
      <c r="W35" s="1"/>
      <c r="X35" s="2" t="s">
        <v>53</v>
      </c>
      <c r="Y35" s="2"/>
      <c r="Z35" s="2"/>
      <c r="AA35" s="2"/>
      <c r="AB35" s="3"/>
      <c r="AC35" s="3">
        <f t="shared" si="11"/>
        <v>0</v>
      </c>
      <c r="AD35" s="4">
        <f t="shared" si="8"/>
        <v>0</v>
      </c>
      <c r="AE35" s="4">
        <f t="shared" si="9"/>
        <v>0</v>
      </c>
      <c r="AF35" s="5">
        <f t="shared" si="10"/>
        <v>0</v>
      </c>
    </row>
    <row r="36" spans="1:32" x14ac:dyDescent="0.25">
      <c r="A36" s="1"/>
      <c r="B36" s="2" t="s">
        <v>107</v>
      </c>
      <c r="C36" s="2"/>
      <c r="D36" s="2"/>
      <c r="E36" s="2"/>
      <c r="F36" s="3"/>
      <c r="G36" s="3">
        <f t="shared" si="0"/>
        <v>0</v>
      </c>
      <c r="H36" s="4">
        <f t="shared" si="1"/>
        <v>0</v>
      </c>
      <c r="I36" s="4">
        <f t="shared" si="2"/>
        <v>0</v>
      </c>
      <c r="J36" s="5">
        <f t="shared" si="3"/>
        <v>0</v>
      </c>
      <c r="L36" s="6">
        <v>45695</v>
      </c>
      <c r="M36" s="2" t="s">
        <v>151</v>
      </c>
      <c r="N36" s="13" t="s">
        <v>173</v>
      </c>
      <c r="O36" s="13" t="s">
        <v>209</v>
      </c>
      <c r="P36" s="2"/>
      <c r="Q36" s="3"/>
      <c r="R36" s="3">
        <v>34306</v>
      </c>
      <c r="S36" s="4">
        <f t="shared" si="5"/>
        <v>34306</v>
      </c>
      <c r="T36" s="4">
        <f t="shared" si="6"/>
        <v>1715</v>
      </c>
      <c r="U36" s="5">
        <f t="shared" si="7"/>
        <v>36021</v>
      </c>
      <c r="W36" s="1"/>
      <c r="X36" s="2" t="s">
        <v>54</v>
      </c>
      <c r="Y36" s="2"/>
      <c r="Z36" s="2"/>
      <c r="AA36" s="2"/>
      <c r="AB36" s="3"/>
      <c r="AC36" s="3">
        <f t="shared" si="11"/>
        <v>0</v>
      </c>
      <c r="AD36" s="4">
        <f t="shared" si="8"/>
        <v>0</v>
      </c>
      <c r="AE36" s="4">
        <f t="shared" si="9"/>
        <v>0</v>
      </c>
      <c r="AF36" s="5">
        <f t="shared" si="10"/>
        <v>0</v>
      </c>
    </row>
    <row r="37" spans="1:32" x14ac:dyDescent="0.25">
      <c r="A37" s="1"/>
      <c r="B37" s="2" t="s">
        <v>108</v>
      </c>
      <c r="C37" s="2"/>
      <c r="D37" s="2"/>
      <c r="E37" s="2"/>
      <c r="F37" s="3"/>
      <c r="G37" s="3">
        <f t="shared" si="0"/>
        <v>0</v>
      </c>
      <c r="H37" s="4">
        <f t="shared" si="1"/>
        <v>0</v>
      </c>
      <c r="I37" s="4">
        <f t="shared" si="2"/>
        <v>0</v>
      </c>
      <c r="J37" s="5">
        <f t="shared" si="3"/>
        <v>0</v>
      </c>
      <c r="L37" s="6">
        <v>45695</v>
      </c>
      <c r="M37" s="2" t="s">
        <v>152</v>
      </c>
      <c r="N37" s="13" t="s">
        <v>210</v>
      </c>
      <c r="O37" s="13" t="s">
        <v>14</v>
      </c>
      <c r="P37" s="2">
        <v>2</v>
      </c>
      <c r="Q37" s="3">
        <v>1700</v>
      </c>
      <c r="R37" s="3">
        <f t="shared" si="4"/>
        <v>3400</v>
      </c>
      <c r="S37" s="4">
        <f t="shared" si="5"/>
        <v>3400</v>
      </c>
      <c r="T37" s="4">
        <f t="shared" si="6"/>
        <v>170</v>
      </c>
      <c r="U37" s="5">
        <f t="shared" si="7"/>
        <v>3570</v>
      </c>
      <c r="W37" s="1"/>
      <c r="X37" s="2" t="s">
        <v>55</v>
      </c>
      <c r="Y37" s="2"/>
      <c r="Z37" s="2"/>
      <c r="AA37" s="2"/>
      <c r="AB37" s="3"/>
      <c r="AC37" s="3">
        <f t="shared" si="11"/>
        <v>0</v>
      </c>
      <c r="AD37" s="4">
        <f t="shared" si="8"/>
        <v>0</v>
      </c>
      <c r="AE37" s="4">
        <f t="shared" si="9"/>
        <v>0</v>
      </c>
      <c r="AF37" s="5">
        <f t="shared" si="10"/>
        <v>0</v>
      </c>
    </row>
    <row r="38" spans="1:32" x14ac:dyDescent="0.25">
      <c r="A38" s="1"/>
      <c r="B38" s="2" t="s">
        <v>109</v>
      </c>
      <c r="C38" s="2"/>
      <c r="D38" s="2"/>
      <c r="E38" s="2"/>
      <c r="F38" s="3"/>
      <c r="G38" s="3">
        <f t="shared" si="0"/>
        <v>0</v>
      </c>
      <c r="H38" s="4">
        <f t="shared" si="1"/>
        <v>0</v>
      </c>
      <c r="I38" s="4">
        <f t="shared" si="2"/>
        <v>0</v>
      </c>
      <c r="J38" s="5">
        <f t="shared" si="3"/>
        <v>0</v>
      </c>
      <c r="L38" s="6">
        <v>45698</v>
      </c>
      <c r="M38" s="2" t="s">
        <v>153</v>
      </c>
      <c r="N38" s="13" t="s">
        <v>211</v>
      </c>
      <c r="O38" s="13" t="s">
        <v>14</v>
      </c>
      <c r="P38" s="2">
        <v>1</v>
      </c>
      <c r="Q38" s="3">
        <v>4600</v>
      </c>
      <c r="R38" s="3">
        <f t="shared" si="4"/>
        <v>4600</v>
      </c>
      <c r="S38" s="4">
        <f t="shared" si="5"/>
        <v>4600</v>
      </c>
      <c r="T38" s="4">
        <f t="shared" si="6"/>
        <v>230</v>
      </c>
      <c r="U38" s="5">
        <f t="shared" si="7"/>
        <v>4830</v>
      </c>
      <c r="W38" s="1"/>
      <c r="X38" s="2" t="s">
        <v>56</v>
      </c>
      <c r="Y38" s="2"/>
      <c r="Z38" s="2"/>
      <c r="AA38" s="2"/>
      <c r="AB38" s="3"/>
      <c r="AC38" s="3">
        <f t="shared" si="11"/>
        <v>0</v>
      </c>
      <c r="AD38" s="4">
        <f t="shared" si="8"/>
        <v>0</v>
      </c>
      <c r="AE38" s="4">
        <f t="shared" si="9"/>
        <v>0</v>
      </c>
      <c r="AF38" s="5">
        <f t="shared" si="10"/>
        <v>0</v>
      </c>
    </row>
    <row r="39" spans="1:32" x14ac:dyDescent="0.25">
      <c r="A39" s="1"/>
      <c r="B39" s="2" t="s">
        <v>110</v>
      </c>
      <c r="C39" s="2"/>
      <c r="D39" s="2"/>
      <c r="E39" s="2"/>
      <c r="F39" s="3"/>
      <c r="G39" s="3">
        <f t="shared" si="0"/>
        <v>0</v>
      </c>
      <c r="H39" s="4">
        <f t="shared" si="1"/>
        <v>0</v>
      </c>
      <c r="I39" s="4">
        <f t="shared" si="2"/>
        <v>0</v>
      </c>
      <c r="J39" s="5">
        <f t="shared" si="3"/>
        <v>0</v>
      </c>
      <c r="L39" s="31">
        <v>45698</v>
      </c>
      <c r="M39" s="34" t="s">
        <v>212</v>
      </c>
      <c r="N39" s="37" t="s">
        <v>213</v>
      </c>
      <c r="O39" s="13" t="s">
        <v>14</v>
      </c>
      <c r="P39" s="2">
        <v>1</v>
      </c>
      <c r="Q39" s="3">
        <v>3900</v>
      </c>
      <c r="R39" s="16">
        <f t="shared" si="4"/>
        <v>3900</v>
      </c>
      <c r="S39" s="38">
        <f>R39+R40</f>
        <v>5995</v>
      </c>
      <c r="T39" s="38">
        <f t="shared" si="6"/>
        <v>300</v>
      </c>
      <c r="U39" s="41">
        <f t="shared" si="7"/>
        <v>6295</v>
      </c>
      <c r="W39" s="1"/>
      <c r="X39" s="2" t="s">
        <v>57</v>
      </c>
      <c r="Y39" s="2"/>
      <c r="Z39" s="2"/>
      <c r="AA39" s="2"/>
      <c r="AB39" s="3"/>
      <c r="AC39" s="3">
        <f t="shared" si="11"/>
        <v>0</v>
      </c>
      <c r="AD39" s="4">
        <f t="shared" si="8"/>
        <v>0</v>
      </c>
      <c r="AE39" s="4">
        <f t="shared" si="9"/>
        <v>0</v>
      </c>
      <c r="AF39" s="5">
        <f t="shared" si="10"/>
        <v>0</v>
      </c>
    </row>
    <row r="40" spans="1:32" x14ac:dyDescent="0.25">
      <c r="A40" s="1"/>
      <c r="B40" s="2" t="s">
        <v>111</v>
      </c>
      <c r="C40" s="2"/>
      <c r="D40" s="2"/>
      <c r="E40" s="2"/>
      <c r="F40" s="3"/>
      <c r="G40" s="3">
        <f t="shared" si="0"/>
        <v>0</v>
      </c>
      <c r="H40" s="4">
        <f t="shared" si="1"/>
        <v>0</v>
      </c>
      <c r="I40" s="4">
        <f t="shared" si="2"/>
        <v>0</v>
      </c>
      <c r="J40" s="5">
        <f t="shared" si="3"/>
        <v>0</v>
      </c>
      <c r="L40" s="33"/>
      <c r="M40" s="36"/>
      <c r="N40" s="36"/>
      <c r="O40" s="13" t="s">
        <v>16</v>
      </c>
      <c r="P40" s="2">
        <v>1</v>
      </c>
      <c r="Q40" s="3">
        <v>2095</v>
      </c>
      <c r="R40" s="16">
        <f t="shared" si="4"/>
        <v>2095</v>
      </c>
      <c r="S40" s="40"/>
      <c r="T40" s="40"/>
      <c r="U40" s="43"/>
      <c r="W40" s="1"/>
      <c r="X40" s="2" t="s">
        <v>58</v>
      </c>
      <c r="Y40" s="2"/>
      <c r="Z40" s="2"/>
      <c r="AA40" s="2"/>
      <c r="AB40" s="3"/>
      <c r="AC40" s="3">
        <f t="shared" si="11"/>
        <v>0</v>
      </c>
      <c r="AD40" s="4">
        <f t="shared" si="8"/>
        <v>0</v>
      </c>
      <c r="AE40" s="4">
        <f t="shared" si="9"/>
        <v>0</v>
      </c>
      <c r="AF40" s="5">
        <f t="shared" si="10"/>
        <v>0</v>
      </c>
    </row>
    <row r="41" spans="1:32" x14ac:dyDescent="0.25">
      <c r="A41" s="1"/>
      <c r="B41" s="2" t="s">
        <v>112</v>
      </c>
      <c r="C41" s="2"/>
      <c r="D41" s="2"/>
      <c r="E41" s="2"/>
      <c r="F41" s="3"/>
      <c r="G41" s="3">
        <f t="shared" si="0"/>
        <v>0</v>
      </c>
      <c r="H41" s="4">
        <f t="shared" si="1"/>
        <v>0</v>
      </c>
      <c r="I41" s="4">
        <f t="shared" si="2"/>
        <v>0</v>
      </c>
      <c r="J41" s="5">
        <f t="shared" si="3"/>
        <v>0</v>
      </c>
      <c r="L41" s="15" t="s">
        <v>214</v>
      </c>
      <c r="M41" s="2" t="s">
        <v>154</v>
      </c>
      <c r="N41" s="2"/>
      <c r="O41" s="2"/>
      <c r="P41" s="2"/>
      <c r="Q41" s="3"/>
      <c r="R41" s="3">
        <f t="shared" si="4"/>
        <v>0</v>
      </c>
      <c r="S41" s="4">
        <f t="shared" si="5"/>
        <v>0</v>
      </c>
      <c r="T41" s="4">
        <f t="shared" si="6"/>
        <v>0</v>
      </c>
      <c r="U41" s="5">
        <f t="shared" si="7"/>
        <v>0</v>
      </c>
      <c r="W41" s="1"/>
      <c r="X41" s="2" t="s">
        <v>59</v>
      </c>
      <c r="Y41" s="2"/>
      <c r="Z41" s="2"/>
      <c r="AA41" s="2"/>
      <c r="AB41" s="3"/>
      <c r="AC41" s="3">
        <f t="shared" si="11"/>
        <v>0</v>
      </c>
      <c r="AD41" s="4">
        <f t="shared" si="8"/>
        <v>0</v>
      </c>
      <c r="AE41" s="4">
        <f t="shared" si="9"/>
        <v>0</v>
      </c>
      <c r="AF41" s="5">
        <f t="shared" si="10"/>
        <v>0</v>
      </c>
    </row>
    <row r="42" spans="1:32" x14ac:dyDescent="0.25">
      <c r="A42" s="1"/>
      <c r="B42" s="2" t="s">
        <v>113</v>
      </c>
      <c r="C42" s="2"/>
      <c r="D42" s="2"/>
      <c r="E42" s="2"/>
      <c r="F42" s="3"/>
      <c r="G42" s="3">
        <f t="shared" si="0"/>
        <v>0</v>
      </c>
      <c r="H42" s="4">
        <f t="shared" si="1"/>
        <v>0</v>
      </c>
      <c r="I42" s="4">
        <f t="shared" si="2"/>
        <v>0</v>
      </c>
      <c r="J42" s="5">
        <f t="shared" si="3"/>
        <v>0</v>
      </c>
      <c r="L42" s="6">
        <v>45698</v>
      </c>
      <c r="M42" s="2" t="s">
        <v>155</v>
      </c>
      <c r="N42" s="13" t="s">
        <v>215</v>
      </c>
      <c r="O42" s="13" t="s">
        <v>14</v>
      </c>
      <c r="P42" s="2">
        <v>131</v>
      </c>
      <c r="Q42" s="3">
        <f>R42/P42</f>
        <v>4469.4656488549617</v>
      </c>
      <c r="R42" s="3">
        <v>585500</v>
      </c>
      <c r="S42" s="4">
        <f t="shared" si="5"/>
        <v>585500</v>
      </c>
      <c r="T42" s="4">
        <f t="shared" si="6"/>
        <v>29275</v>
      </c>
      <c r="U42" s="5">
        <f t="shared" si="7"/>
        <v>614775</v>
      </c>
      <c r="W42" s="1"/>
      <c r="X42" s="2" t="s">
        <v>60</v>
      </c>
      <c r="Y42" s="2"/>
      <c r="Z42" s="2"/>
      <c r="AA42" s="2"/>
      <c r="AB42" s="3"/>
      <c r="AC42" s="3">
        <f t="shared" si="11"/>
        <v>0</v>
      </c>
      <c r="AD42" s="4">
        <f t="shared" si="8"/>
        <v>0</v>
      </c>
      <c r="AE42" s="4">
        <f t="shared" si="9"/>
        <v>0</v>
      </c>
      <c r="AF42" s="5">
        <f t="shared" si="10"/>
        <v>0</v>
      </c>
    </row>
    <row r="43" spans="1:32" x14ac:dyDescent="0.25">
      <c r="A43" s="1"/>
      <c r="B43" s="2" t="s">
        <v>114</v>
      </c>
      <c r="C43" s="2"/>
      <c r="D43" s="2"/>
      <c r="E43" s="2"/>
      <c r="F43" s="3"/>
      <c r="G43" s="3">
        <f t="shared" si="0"/>
        <v>0</v>
      </c>
      <c r="H43" s="4">
        <f t="shared" si="1"/>
        <v>0</v>
      </c>
      <c r="I43" s="4">
        <f t="shared" si="2"/>
        <v>0</v>
      </c>
      <c r="J43" s="5">
        <f t="shared" si="3"/>
        <v>0</v>
      </c>
      <c r="L43" s="31">
        <v>45699</v>
      </c>
      <c r="M43" s="34" t="s">
        <v>216</v>
      </c>
      <c r="N43" s="37" t="s">
        <v>217</v>
      </c>
      <c r="O43" s="13" t="s">
        <v>14</v>
      </c>
      <c r="P43" s="2">
        <v>1</v>
      </c>
      <c r="Q43" s="3">
        <v>1750</v>
      </c>
      <c r="R43" s="16">
        <f t="shared" ref="R43:R44" si="14">P43*Q43</f>
        <v>1750</v>
      </c>
      <c r="S43" s="38">
        <f>R43+R44</f>
        <v>3370</v>
      </c>
      <c r="T43" s="38">
        <f t="shared" si="6"/>
        <v>169</v>
      </c>
      <c r="U43" s="41">
        <f t="shared" si="7"/>
        <v>3539</v>
      </c>
      <c r="W43" s="1"/>
      <c r="X43" s="2" t="s">
        <v>61</v>
      </c>
      <c r="Y43" s="2"/>
      <c r="Z43" s="2"/>
      <c r="AA43" s="2"/>
      <c r="AB43" s="3"/>
      <c r="AC43" s="3">
        <f t="shared" si="11"/>
        <v>0</v>
      </c>
      <c r="AD43" s="4">
        <f t="shared" si="8"/>
        <v>0</v>
      </c>
      <c r="AE43" s="4">
        <f t="shared" si="9"/>
        <v>0</v>
      </c>
      <c r="AF43" s="5">
        <f t="shared" si="10"/>
        <v>0</v>
      </c>
    </row>
    <row r="44" spans="1:32" x14ac:dyDescent="0.25">
      <c r="A44" s="1"/>
      <c r="B44" s="2" t="s">
        <v>115</v>
      </c>
      <c r="C44" s="2"/>
      <c r="D44" s="2"/>
      <c r="E44" s="2"/>
      <c r="F44" s="3"/>
      <c r="G44" s="3">
        <f t="shared" si="0"/>
        <v>0</v>
      </c>
      <c r="H44" s="4">
        <f t="shared" si="1"/>
        <v>0</v>
      </c>
      <c r="I44" s="4">
        <f t="shared" si="2"/>
        <v>0</v>
      </c>
      <c r="J44" s="5">
        <f t="shared" si="3"/>
        <v>0</v>
      </c>
      <c r="L44" s="33"/>
      <c r="M44" s="36"/>
      <c r="N44" s="36"/>
      <c r="O44" s="13" t="s">
        <v>16</v>
      </c>
      <c r="P44" s="2">
        <v>1</v>
      </c>
      <c r="Q44" s="3">
        <v>1620</v>
      </c>
      <c r="R44" s="16">
        <f t="shared" si="14"/>
        <v>1620</v>
      </c>
      <c r="S44" s="40"/>
      <c r="T44" s="40"/>
      <c r="U44" s="43"/>
      <c r="W44" s="1"/>
      <c r="X44" s="2" t="s">
        <v>62</v>
      </c>
      <c r="Y44" s="2"/>
      <c r="Z44" s="2"/>
      <c r="AA44" s="2"/>
      <c r="AB44" s="3"/>
      <c r="AC44" s="3">
        <f t="shared" si="11"/>
        <v>0</v>
      </c>
      <c r="AD44" s="4">
        <f t="shared" si="8"/>
        <v>0</v>
      </c>
      <c r="AE44" s="4">
        <f t="shared" si="9"/>
        <v>0</v>
      </c>
      <c r="AF44" s="5">
        <f t="shared" si="10"/>
        <v>0</v>
      </c>
    </row>
    <row r="45" spans="1:32" x14ac:dyDescent="0.25">
      <c r="A45" s="1"/>
      <c r="B45" s="2" t="s">
        <v>116</v>
      </c>
      <c r="C45" s="2"/>
      <c r="D45" s="2"/>
      <c r="E45" s="2"/>
      <c r="F45" s="3"/>
      <c r="G45" s="3">
        <f t="shared" si="0"/>
        <v>0</v>
      </c>
      <c r="H45" s="4">
        <f t="shared" si="1"/>
        <v>0</v>
      </c>
      <c r="I45" s="4">
        <f t="shared" si="2"/>
        <v>0</v>
      </c>
      <c r="J45" s="5">
        <f t="shared" si="3"/>
        <v>0</v>
      </c>
      <c r="L45" s="6">
        <v>45703</v>
      </c>
      <c r="M45" s="2" t="s">
        <v>156</v>
      </c>
      <c r="N45" s="13" t="s">
        <v>218</v>
      </c>
      <c r="O45" s="13" t="s">
        <v>14</v>
      </c>
      <c r="P45" s="2">
        <v>1</v>
      </c>
      <c r="Q45" s="3">
        <v>4128</v>
      </c>
      <c r="R45" s="3">
        <f t="shared" si="4"/>
        <v>4128</v>
      </c>
      <c r="S45" s="4">
        <f t="shared" si="5"/>
        <v>4128</v>
      </c>
      <c r="T45" s="4">
        <f t="shared" si="6"/>
        <v>206</v>
      </c>
      <c r="U45" s="5">
        <f t="shared" si="7"/>
        <v>4334</v>
      </c>
      <c r="W45" s="1"/>
      <c r="X45" s="2" t="s">
        <v>63</v>
      </c>
      <c r="Y45" s="2"/>
      <c r="Z45" s="2"/>
      <c r="AA45" s="2"/>
      <c r="AB45" s="3"/>
      <c r="AC45" s="3">
        <f t="shared" si="11"/>
        <v>0</v>
      </c>
      <c r="AD45" s="4">
        <f t="shared" si="8"/>
        <v>0</v>
      </c>
      <c r="AE45" s="4">
        <f t="shared" si="9"/>
        <v>0</v>
      </c>
      <c r="AF45" s="5">
        <f t="shared" si="10"/>
        <v>0</v>
      </c>
    </row>
    <row r="46" spans="1:32" x14ac:dyDescent="0.25">
      <c r="A46" s="1"/>
      <c r="B46" s="2" t="s">
        <v>117</v>
      </c>
      <c r="C46" s="2"/>
      <c r="D46" s="2"/>
      <c r="E46" s="2"/>
      <c r="F46" s="3"/>
      <c r="G46" s="3">
        <f t="shared" si="0"/>
        <v>0</v>
      </c>
      <c r="H46" s="4">
        <f t="shared" si="1"/>
        <v>0</v>
      </c>
      <c r="I46" s="4">
        <f t="shared" si="2"/>
        <v>0</v>
      </c>
      <c r="J46" s="5">
        <f t="shared" si="3"/>
        <v>0</v>
      </c>
      <c r="L46" s="6">
        <v>45707</v>
      </c>
      <c r="M46" s="2" t="s">
        <v>157</v>
      </c>
      <c r="N46" s="13" t="s">
        <v>219</v>
      </c>
      <c r="O46" s="13" t="s">
        <v>14</v>
      </c>
      <c r="P46" s="2">
        <v>9</v>
      </c>
      <c r="Q46" s="3">
        <v>881</v>
      </c>
      <c r="R46" s="3">
        <f t="shared" si="4"/>
        <v>7929</v>
      </c>
      <c r="S46" s="4">
        <f t="shared" si="5"/>
        <v>7929</v>
      </c>
      <c r="T46" s="4">
        <f t="shared" si="6"/>
        <v>396</v>
      </c>
      <c r="U46" s="5">
        <f t="shared" si="7"/>
        <v>8325</v>
      </c>
      <c r="W46" s="1"/>
      <c r="X46" s="2" t="s">
        <v>64</v>
      </c>
      <c r="Y46" s="2"/>
      <c r="Z46" s="2"/>
      <c r="AA46" s="2"/>
      <c r="AB46" s="3"/>
      <c r="AC46" s="3">
        <f t="shared" si="11"/>
        <v>0</v>
      </c>
      <c r="AD46" s="4">
        <f t="shared" si="8"/>
        <v>0</v>
      </c>
      <c r="AE46" s="4">
        <f t="shared" si="9"/>
        <v>0</v>
      </c>
      <c r="AF46" s="5">
        <f t="shared" si="10"/>
        <v>0</v>
      </c>
    </row>
    <row r="47" spans="1:32" x14ac:dyDescent="0.25">
      <c r="A47" s="1"/>
      <c r="B47" s="2" t="s">
        <v>118</v>
      </c>
      <c r="C47" s="2"/>
      <c r="D47" s="2"/>
      <c r="E47" s="2"/>
      <c r="F47" s="3"/>
      <c r="G47" s="3">
        <f t="shared" si="0"/>
        <v>0</v>
      </c>
      <c r="H47" s="4">
        <f t="shared" si="1"/>
        <v>0</v>
      </c>
      <c r="I47" s="4">
        <f t="shared" si="2"/>
        <v>0</v>
      </c>
      <c r="J47" s="5">
        <f t="shared" si="3"/>
        <v>0</v>
      </c>
      <c r="L47" s="6">
        <v>45707</v>
      </c>
      <c r="M47" s="2" t="s">
        <v>158</v>
      </c>
      <c r="N47" s="13" t="s">
        <v>220</v>
      </c>
      <c r="O47" s="13" t="s">
        <v>14</v>
      </c>
      <c r="P47" s="2">
        <v>103</v>
      </c>
      <c r="Q47" s="3">
        <v>2200</v>
      </c>
      <c r="R47" s="3">
        <f t="shared" si="4"/>
        <v>226600</v>
      </c>
      <c r="S47" s="4">
        <f t="shared" si="5"/>
        <v>226600</v>
      </c>
      <c r="T47" s="4">
        <f t="shared" si="6"/>
        <v>11330</v>
      </c>
      <c r="U47" s="5">
        <f t="shared" si="7"/>
        <v>237930</v>
      </c>
      <c r="W47" s="1"/>
      <c r="X47" s="2" t="s">
        <v>65</v>
      </c>
      <c r="Y47" s="2"/>
      <c r="Z47" s="2"/>
      <c r="AA47" s="2"/>
      <c r="AB47" s="3"/>
      <c r="AC47" s="3">
        <f t="shared" si="11"/>
        <v>0</v>
      </c>
      <c r="AD47" s="4">
        <f t="shared" si="8"/>
        <v>0</v>
      </c>
      <c r="AE47" s="4">
        <f t="shared" si="9"/>
        <v>0</v>
      </c>
      <c r="AF47" s="5">
        <f t="shared" si="10"/>
        <v>0</v>
      </c>
    </row>
    <row r="48" spans="1:32" x14ac:dyDescent="0.25">
      <c r="A48" s="1"/>
      <c r="B48" s="2" t="s">
        <v>119</v>
      </c>
      <c r="C48" s="2"/>
      <c r="D48" s="2"/>
      <c r="E48" s="2"/>
      <c r="F48" s="3"/>
      <c r="G48" s="3">
        <f t="shared" si="0"/>
        <v>0</v>
      </c>
      <c r="H48" s="4">
        <f t="shared" si="1"/>
        <v>0</v>
      </c>
      <c r="I48" s="4">
        <f t="shared" si="2"/>
        <v>0</v>
      </c>
      <c r="J48" s="5">
        <f t="shared" si="3"/>
        <v>0</v>
      </c>
      <c r="L48" s="1"/>
      <c r="M48" s="2" t="s">
        <v>159</v>
      </c>
      <c r="N48" s="2"/>
      <c r="O48" s="2"/>
      <c r="P48" s="2"/>
      <c r="Q48" s="3"/>
      <c r="R48" s="3">
        <f t="shared" si="4"/>
        <v>0</v>
      </c>
      <c r="S48" s="4">
        <f t="shared" si="5"/>
        <v>0</v>
      </c>
      <c r="T48" s="4">
        <f t="shared" si="6"/>
        <v>0</v>
      </c>
      <c r="U48" s="5">
        <f t="shared" si="7"/>
        <v>0</v>
      </c>
      <c r="W48" s="1"/>
      <c r="X48" s="2" t="s">
        <v>66</v>
      </c>
      <c r="Y48" s="2"/>
      <c r="Z48" s="2"/>
      <c r="AA48" s="2"/>
      <c r="AB48" s="3"/>
      <c r="AC48" s="3">
        <f t="shared" si="11"/>
        <v>0</v>
      </c>
      <c r="AD48" s="4">
        <f t="shared" si="8"/>
        <v>0</v>
      </c>
      <c r="AE48" s="4">
        <f t="shared" si="9"/>
        <v>0</v>
      </c>
      <c r="AF48" s="5">
        <f t="shared" si="10"/>
        <v>0</v>
      </c>
    </row>
    <row r="49" spans="1:32" x14ac:dyDescent="0.25">
      <c r="A49" s="1"/>
      <c r="B49" s="2" t="s">
        <v>120</v>
      </c>
      <c r="C49" s="2"/>
      <c r="D49" s="2"/>
      <c r="E49" s="2"/>
      <c r="F49" s="3"/>
      <c r="G49" s="3">
        <f t="shared" si="0"/>
        <v>0</v>
      </c>
      <c r="H49" s="4">
        <f t="shared" si="1"/>
        <v>0</v>
      </c>
      <c r="I49" s="4">
        <f t="shared" si="2"/>
        <v>0</v>
      </c>
      <c r="J49" s="5">
        <f t="shared" si="3"/>
        <v>0</v>
      </c>
      <c r="L49" s="1"/>
      <c r="M49" s="2" t="s">
        <v>160</v>
      </c>
      <c r="N49" s="2"/>
      <c r="O49" s="2"/>
      <c r="P49" s="2"/>
      <c r="Q49" s="3"/>
      <c r="R49" s="3">
        <f t="shared" si="4"/>
        <v>0</v>
      </c>
      <c r="S49" s="4">
        <f t="shared" si="5"/>
        <v>0</v>
      </c>
      <c r="T49" s="4">
        <f t="shared" si="6"/>
        <v>0</v>
      </c>
      <c r="U49" s="5">
        <f t="shared" si="7"/>
        <v>0</v>
      </c>
      <c r="W49" s="1"/>
      <c r="X49" s="2" t="s">
        <v>67</v>
      </c>
      <c r="Y49" s="2"/>
      <c r="Z49" s="2"/>
      <c r="AA49" s="2"/>
      <c r="AB49" s="3"/>
      <c r="AC49" s="3">
        <f t="shared" si="11"/>
        <v>0</v>
      </c>
      <c r="AD49" s="4">
        <f t="shared" si="8"/>
        <v>0</v>
      </c>
      <c r="AE49" s="4">
        <f t="shared" si="9"/>
        <v>0</v>
      </c>
      <c r="AF49" s="5">
        <f t="shared" si="10"/>
        <v>0</v>
      </c>
    </row>
    <row r="50" spans="1:32" x14ac:dyDescent="0.25">
      <c r="A50" s="1"/>
      <c r="B50" s="2" t="s">
        <v>121</v>
      </c>
      <c r="C50" s="2"/>
      <c r="D50" s="2"/>
      <c r="E50" s="2"/>
      <c r="F50" s="3"/>
      <c r="G50" s="3">
        <f t="shared" si="0"/>
        <v>0</v>
      </c>
      <c r="H50" s="4">
        <f t="shared" si="1"/>
        <v>0</v>
      </c>
      <c r="I50" s="4">
        <f t="shared" si="2"/>
        <v>0</v>
      </c>
      <c r="J50" s="5">
        <f t="shared" si="3"/>
        <v>0</v>
      </c>
      <c r="L50" s="1"/>
      <c r="M50" s="2" t="s">
        <v>161</v>
      </c>
      <c r="N50" s="2"/>
      <c r="O50" s="2"/>
      <c r="P50" s="2"/>
      <c r="Q50" s="3"/>
      <c r="R50" s="3">
        <f t="shared" si="4"/>
        <v>0</v>
      </c>
      <c r="S50" s="4">
        <f t="shared" si="5"/>
        <v>0</v>
      </c>
      <c r="T50" s="4">
        <f t="shared" si="6"/>
        <v>0</v>
      </c>
      <c r="U50" s="5">
        <f t="shared" si="7"/>
        <v>0</v>
      </c>
      <c r="W50" s="1"/>
      <c r="X50" s="2" t="s">
        <v>68</v>
      </c>
      <c r="Y50" s="2"/>
      <c r="Z50" s="2"/>
      <c r="AA50" s="2"/>
      <c r="AB50" s="3"/>
      <c r="AC50" s="3">
        <f t="shared" si="11"/>
        <v>0</v>
      </c>
      <c r="AD50" s="4">
        <f t="shared" si="8"/>
        <v>0</v>
      </c>
      <c r="AE50" s="4">
        <f t="shared" si="9"/>
        <v>0</v>
      </c>
      <c r="AF50" s="5">
        <f t="shared" si="10"/>
        <v>0</v>
      </c>
    </row>
    <row r="51" spans="1:32" x14ac:dyDescent="0.25">
      <c r="A51" s="1"/>
      <c r="B51" s="2" t="s">
        <v>122</v>
      </c>
      <c r="C51" s="2"/>
      <c r="D51" s="2"/>
      <c r="E51" s="2"/>
      <c r="F51" s="3"/>
      <c r="G51" s="3">
        <f t="shared" si="0"/>
        <v>0</v>
      </c>
      <c r="H51" s="4">
        <f t="shared" si="1"/>
        <v>0</v>
      </c>
      <c r="I51" s="4">
        <f t="shared" si="2"/>
        <v>0</v>
      </c>
      <c r="J51" s="5">
        <f t="shared" si="3"/>
        <v>0</v>
      </c>
      <c r="L51" s="1"/>
      <c r="M51" s="2" t="s">
        <v>162</v>
      </c>
      <c r="N51" s="2"/>
      <c r="O51" s="2"/>
      <c r="P51" s="2"/>
      <c r="Q51" s="3"/>
      <c r="R51" s="3">
        <f t="shared" si="4"/>
        <v>0</v>
      </c>
      <c r="S51" s="4">
        <f t="shared" si="5"/>
        <v>0</v>
      </c>
      <c r="T51" s="4">
        <f t="shared" si="6"/>
        <v>0</v>
      </c>
      <c r="U51" s="5">
        <f t="shared" si="7"/>
        <v>0</v>
      </c>
      <c r="W51" s="1"/>
      <c r="X51" s="2" t="s">
        <v>69</v>
      </c>
      <c r="Y51" s="2"/>
      <c r="Z51" s="2"/>
      <c r="AA51" s="2"/>
      <c r="AB51" s="3"/>
      <c r="AC51" s="3">
        <f t="shared" si="11"/>
        <v>0</v>
      </c>
      <c r="AD51" s="4">
        <f t="shared" si="8"/>
        <v>0</v>
      </c>
      <c r="AE51" s="4">
        <f t="shared" si="9"/>
        <v>0</v>
      </c>
      <c r="AF51" s="5">
        <f t="shared" si="10"/>
        <v>0</v>
      </c>
    </row>
    <row r="52" spans="1:32" ht="16.5" thickBot="1" x14ac:dyDescent="0.3">
      <c r="A52" s="1"/>
      <c r="B52" s="2" t="s">
        <v>123</v>
      </c>
      <c r="C52" s="2"/>
      <c r="D52" s="2"/>
      <c r="E52" s="2"/>
      <c r="F52" s="3"/>
      <c r="G52" s="3">
        <f t="shared" si="0"/>
        <v>0</v>
      </c>
      <c r="H52" s="4">
        <f t="shared" si="1"/>
        <v>0</v>
      </c>
      <c r="I52" s="4">
        <f t="shared" si="2"/>
        <v>0</v>
      </c>
      <c r="J52" s="5">
        <f t="shared" si="3"/>
        <v>0</v>
      </c>
      <c r="L52" s="1"/>
      <c r="M52" s="2" t="s">
        <v>163</v>
      </c>
      <c r="N52" s="2"/>
      <c r="O52" s="2"/>
      <c r="P52" s="2"/>
      <c r="Q52" s="3"/>
      <c r="R52" s="3">
        <f t="shared" si="4"/>
        <v>0</v>
      </c>
      <c r="S52" s="4">
        <f t="shared" si="5"/>
        <v>0</v>
      </c>
      <c r="T52" s="4">
        <f t="shared" si="6"/>
        <v>0</v>
      </c>
      <c r="U52" s="5">
        <f t="shared" si="7"/>
        <v>0</v>
      </c>
      <c r="W52" s="7"/>
      <c r="X52" s="2" t="s">
        <v>70</v>
      </c>
      <c r="Y52" s="8"/>
      <c r="Z52" s="8"/>
      <c r="AA52" s="8"/>
      <c r="AB52" s="9"/>
      <c r="AC52" s="9">
        <f t="shared" si="11"/>
        <v>0</v>
      </c>
      <c r="AD52" s="10">
        <f t="shared" si="8"/>
        <v>0</v>
      </c>
      <c r="AE52" s="10">
        <f t="shared" si="9"/>
        <v>0</v>
      </c>
      <c r="AF52" s="11">
        <f t="shared" si="10"/>
        <v>0</v>
      </c>
    </row>
    <row r="53" spans="1:32" ht="16.5" thickBot="1" x14ac:dyDescent="0.3">
      <c r="A53" s="7"/>
      <c r="B53" s="2" t="s">
        <v>124</v>
      </c>
      <c r="C53" s="8"/>
      <c r="D53" s="8"/>
      <c r="E53" s="8"/>
      <c r="F53" s="9"/>
      <c r="G53" s="9">
        <f t="shared" si="0"/>
        <v>0</v>
      </c>
      <c r="H53" s="10">
        <f t="shared" si="1"/>
        <v>0</v>
      </c>
      <c r="I53" s="10">
        <f t="shared" si="2"/>
        <v>0</v>
      </c>
      <c r="J53" s="11">
        <f t="shared" si="3"/>
        <v>0</v>
      </c>
      <c r="L53" s="1"/>
      <c r="M53" s="2" t="s">
        <v>164</v>
      </c>
      <c r="N53" s="2"/>
      <c r="O53" s="2"/>
      <c r="P53" s="2"/>
      <c r="Q53" s="3"/>
      <c r="R53" s="3">
        <f t="shared" si="4"/>
        <v>0</v>
      </c>
      <c r="S53" s="4">
        <f t="shared" si="5"/>
        <v>0</v>
      </c>
      <c r="T53" s="4">
        <f t="shared" si="6"/>
        <v>0</v>
      </c>
      <c r="U53" s="5">
        <f t="shared" si="7"/>
        <v>0</v>
      </c>
      <c r="AE53" s="14">
        <f>SUM(AE3:AE52)</f>
        <v>85537</v>
      </c>
    </row>
    <row r="54" spans="1:32" x14ac:dyDescent="0.25">
      <c r="I54" s="14">
        <f>SUM(I3:I53)+I58+I59+I60</f>
        <v>98824</v>
      </c>
      <c r="L54" s="1"/>
      <c r="M54" s="2" t="s">
        <v>165</v>
      </c>
      <c r="N54" s="2"/>
      <c r="O54" s="2"/>
      <c r="P54" s="2"/>
      <c r="Q54" s="3"/>
      <c r="R54" s="3">
        <f t="shared" si="4"/>
        <v>0</v>
      </c>
      <c r="S54" s="4">
        <f t="shared" si="5"/>
        <v>0</v>
      </c>
      <c r="T54" s="4">
        <f t="shared" si="6"/>
        <v>0</v>
      </c>
      <c r="U54" s="5">
        <f t="shared" si="7"/>
        <v>0</v>
      </c>
    </row>
    <row r="55" spans="1:32" ht="16.5" thickBot="1" x14ac:dyDescent="0.3">
      <c r="L55" s="1"/>
      <c r="M55" s="2" t="s">
        <v>166</v>
      </c>
      <c r="N55" s="2"/>
      <c r="O55" s="2"/>
      <c r="P55" s="2"/>
      <c r="Q55" s="3"/>
      <c r="R55" s="3">
        <f t="shared" si="4"/>
        <v>0</v>
      </c>
      <c r="S55" s="4">
        <f t="shared" si="5"/>
        <v>0</v>
      </c>
      <c r="T55" s="4">
        <f t="shared" si="6"/>
        <v>0</v>
      </c>
      <c r="U55" s="5">
        <f t="shared" si="7"/>
        <v>0</v>
      </c>
    </row>
    <row r="56" spans="1:32" x14ac:dyDescent="0.25">
      <c r="A56" s="50" t="s">
        <v>20</v>
      </c>
      <c r="B56" s="29"/>
      <c r="C56" s="29"/>
      <c r="D56" s="29"/>
      <c r="E56" s="29"/>
      <c r="F56" s="29"/>
      <c r="G56" s="29"/>
      <c r="H56" s="29"/>
      <c r="I56" s="29"/>
      <c r="J56" s="29"/>
      <c r="L56" s="1"/>
      <c r="M56" s="2" t="s">
        <v>167</v>
      </c>
      <c r="N56" s="2"/>
      <c r="O56" s="2"/>
      <c r="P56" s="2"/>
      <c r="Q56" s="3"/>
      <c r="R56" s="3">
        <f t="shared" si="4"/>
        <v>0</v>
      </c>
      <c r="S56" s="4">
        <f t="shared" si="5"/>
        <v>0</v>
      </c>
      <c r="T56" s="4">
        <f t="shared" si="6"/>
        <v>0</v>
      </c>
      <c r="U56" s="5">
        <f t="shared" si="7"/>
        <v>0</v>
      </c>
    </row>
    <row r="57" spans="1:32" x14ac:dyDescent="0.25">
      <c r="A57" s="1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3" t="s">
        <v>6</v>
      </c>
      <c r="G57" s="3" t="s">
        <v>7</v>
      </c>
      <c r="H57" s="4" t="s">
        <v>12</v>
      </c>
      <c r="I57" s="4" t="s">
        <v>9</v>
      </c>
      <c r="J57" s="4" t="s">
        <v>13</v>
      </c>
      <c r="L57" s="1"/>
      <c r="M57" s="2" t="s">
        <v>168</v>
      </c>
      <c r="N57" s="2"/>
      <c r="O57" s="2"/>
      <c r="P57" s="2"/>
      <c r="Q57" s="3"/>
      <c r="R57" s="3">
        <f t="shared" si="4"/>
        <v>0</v>
      </c>
      <c r="S57" s="4">
        <f t="shared" si="5"/>
        <v>0</v>
      </c>
      <c r="T57" s="4">
        <f t="shared" si="6"/>
        <v>0</v>
      </c>
      <c r="U57" s="5">
        <f t="shared" si="7"/>
        <v>0</v>
      </c>
    </row>
    <row r="58" spans="1:32" x14ac:dyDescent="0.25">
      <c r="A58" s="6">
        <v>45659</v>
      </c>
      <c r="B58" s="2" t="s">
        <v>192</v>
      </c>
      <c r="C58" s="2"/>
      <c r="D58" s="13" t="s">
        <v>72</v>
      </c>
      <c r="E58" s="2">
        <v>5</v>
      </c>
      <c r="F58" s="3">
        <v>2366</v>
      </c>
      <c r="G58" s="3">
        <f t="shared" ref="G58:G62" si="15">E58*F58</f>
        <v>11830</v>
      </c>
      <c r="H58" s="4">
        <f t="shared" ref="H58:H62" si="16">G58</f>
        <v>11830</v>
      </c>
      <c r="I58" s="12">
        <f>H58-ROUND(H58/1.05,0)</f>
        <v>563</v>
      </c>
      <c r="J58" s="4"/>
      <c r="L58" s="1"/>
      <c r="M58" s="2" t="s">
        <v>169</v>
      </c>
      <c r="N58" s="2"/>
      <c r="O58" s="2"/>
      <c r="P58" s="2"/>
      <c r="Q58" s="3"/>
      <c r="R58" s="3">
        <f t="shared" si="4"/>
        <v>0</v>
      </c>
      <c r="S58" s="4">
        <f t="shared" si="5"/>
        <v>0</v>
      </c>
      <c r="T58" s="4">
        <f t="shared" si="6"/>
        <v>0</v>
      </c>
      <c r="U58" s="5">
        <f t="shared" si="7"/>
        <v>0</v>
      </c>
    </row>
    <row r="59" spans="1:32" x14ac:dyDescent="0.25">
      <c r="A59" s="6">
        <v>45678</v>
      </c>
      <c r="B59" s="2" t="s">
        <v>193</v>
      </c>
      <c r="C59" s="2"/>
      <c r="D59" s="13" t="s">
        <v>14</v>
      </c>
      <c r="E59" s="2">
        <v>5</v>
      </c>
      <c r="F59" s="3">
        <v>2366</v>
      </c>
      <c r="G59" s="3">
        <f t="shared" si="15"/>
        <v>11830</v>
      </c>
      <c r="H59" s="4">
        <f t="shared" si="16"/>
        <v>11830</v>
      </c>
      <c r="I59" s="12">
        <f t="shared" ref="I59:I62" si="17">H59-ROUND(H59/1.05,0)</f>
        <v>563</v>
      </c>
      <c r="J59" s="4"/>
      <c r="L59" s="1"/>
      <c r="M59" s="2" t="s">
        <v>170</v>
      </c>
      <c r="N59" s="2"/>
      <c r="O59" s="2"/>
      <c r="P59" s="2"/>
      <c r="Q59" s="3"/>
      <c r="R59" s="3">
        <f t="shared" si="4"/>
        <v>0</v>
      </c>
      <c r="S59" s="4">
        <f t="shared" si="5"/>
        <v>0</v>
      </c>
      <c r="T59" s="4">
        <f t="shared" si="6"/>
        <v>0</v>
      </c>
      <c r="U59" s="5">
        <f t="shared" si="7"/>
        <v>0</v>
      </c>
    </row>
    <row r="60" spans="1:32" ht="16.5" thickBot="1" x14ac:dyDescent="0.3">
      <c r="A60" s="6">
        <v>45708</v>
      </c>
      <c r="B60" s="2" t="s">
        <v>194</v>
      </c>
      <c r="C60" s="2"/>
      <c r="D60" s="13" t="s">
        <v>14</v>
      </c>
      <c r="E60" s="2">
        <v>5</v>
      </c>
      <c r="F60" s="3">
        <v>2366</v>
      </c>
      <c r="G60" s="3">
        <f t="shared" si="15"/>
        <v>11830</v>
      </c>
      <c r="H60" s="4">
        <f t="shared" si="16"/>
        <v>11830</v>
      </c>
      <c r="I60" s="12">
        <f t="shared" si="17"/>
        <v>563</v>
      </c>
      <c r="J60" s="4"/>
      <c r="L60" s="7"/>
      <c r="M60" s="2" t="s">
        <v>171</v>
      </c>
      <c r="N60" s="8"/>
      <c r="O60" s="8"/>
      <c r="P60" s="8"/>
      <c r="Q60" s="9"/>
      <c r="R60" s="9">
        <f t="shared" si="4"/>
        <v>0</v>
      </c>
      <c r="S60" s="10">
        <f t="shared" si="5"/>
        <v>0</v>
      </c>
      <c r="T60" s="10">
        <f t="shared" si="6"/>
        <v>0</v>
      </c>
      <c r="U60" s="11">
        <f t="shared" si="7"/>
        <v>0</v>
      </c>
    </row>
    <row r="61" spans="1:32" x14ac:dyDescent="0.25">
      <c r="A61" s="1"/>
      <c r="B61" s="2" t="s">
        <v>195</v>
      </c>
      <c r="C61" s="2"/>
      <c r="D61" s="2"/>
      <c r="E61" s="2"/>
      <c r="F61" s="3"/>
      <c r="G61" s="3">
        <f t="shared" si="15"/>
        <v>0</v>
      </c>
      <c r="H61" s="4">
        <f t="shared" si="16"/>
        <v>0</v>
      </c>
      <c r="I61" s="12">
        <f t="shared" si="17"/>
        <v>0</v>
      </c>
      <c r="J61" s="4"/>
      <c r="T61" s="14">
        <f>SUM(T3:T60)</f>
        <v>133267</v>
      </c>
    </row>
    <row r="62" spans="1:32" ht="16.5" thickBot="1" x14ac:dyDescent="0.3">
      <c r="A62" s="1"/>
      <c r="B62" s="2" t="s">
        <v>196</v>
      </c>
      <c r="C62" s="2"/>
      <c r="D62" s="2"/>
      <c r="E62" s="2"/>
      <c r="F62" s="3"/>
      <c r="G62" s="3">
        <f t="shared" si="15"/>
        <v>0</v>
      </c>
      <c r="H62" s="4">
        <f t="shared" si="16"/>
        <v>0</v>
      </c>
      <c r="I62" s="12">
        <f t="shared" si="17"/>
        <v>0</v>
      </c>
      <c r="J62" s="4"/>
    </row>
    <row r="63" spans="1:32" x14ac:dyDescent="0.25">
      <c r="L63" s="28" t="s">
        <v>11</v>
      </c>
      <c r="M63" s="29"/>
      <c r="N63" s="29"/>
      <c r="O63" s="29"/>
      <c r="P63" s="29"/>
      <c r="Q63" s="29"/>
      <c r="R63" s="29"/>
      <c r="S63" s="29"/>
      <c r="T63" s="29"/>
      <c r="U63" s="29"/>
    </row>
    <row r="64" spans="1:32" x14ac:dyDescent="0.25">
      <c r="L64" s="1" t="s">
        <v>1</v>
      </c>
      <c r="M64" s="2" t="s">
        <v>2</v>
      </c>
      <c r="N64" s="2" t="s">
        <v>3</v>
      </c>
      <c r="O64" s="2" t="s">
        <v>4</v>
      </c>
      <c r="P64" s="2" t="s">
        <v>5</v>
      </c>
      <c r="Q64" s="3" t="s">
        <v>6</v>
      </c>
      <c r="R64" s="3" t="s">
        <v>7</v>
      </c>
      <c r="S64" s="4" t="s">
        <v>12</v>
      </c>
      <c r="T64" s="4" t="s">
        <v>9</v>
      </c>
      <c r="U64" s="4" t="s">
        <v>13</v>
      </c>
    </row>
    <row r="65" spans="12:21" x14ac:dyDescent="0.25">
      <c r="L65" s="6"/>
      <c r="M65" s="2"/>
      <c r="N65" s="2"/>
      <c r="O65" s="2"/>
      <c r="P65" s="2"/>
      <c r="Q65" s="3"/>
      <c r="R65" s="3">
        <f t="shared" ref="R65:R69" si="18">P65*Q65</f>
        <v>0</v>
      </c>
      <c r="S65" s="4">
        <f t="shared" ref="S65:S69" si="19">R65</f>
        <v>0</v>
      </c>
      <c r="T65" s="12">
        <f>S65-ROUND(S65/1.05,0)</f>
        <v>0</v>
      </c>
      <c r="U65" s="4"/>
    </row>
    <row r="66" spans="12:21" x14ac:dyDescent="0.25">
      <c r="L66" s="6"/>
      <c r="M66" s="2"/>
      <c r="N66" s="2"/>
      <c r="O66" s="2"/>
      <c r="P66" s="2"/>
      <c r="Q66" s="3"/>
      <c r="R66" s="3">
        <f t="shared" si="18"/>
        <v>0</v>
      </c>
      <c r="S66" s="4">
        <f t="shared" si="19"/>
        <v>0</v>
      </c>
      <c r="T66" s="12">
        <f t="shared" ref="T66:T69" si="20">S66-ROUND(S66/1.05,0)</f>
        <v>0</v>
      </c>
      <c r="U66" s="4"/>
    </row>
    <row r="67" spans="12:21" x14ac:dyDescent="0.25">
      <c r="L67" s="1"/>
      <c r="M67" s="2"/>
      <c r="N67" s="2"/>
      <c r="O67" s="2"/>
      <c r="P67" s="2"/>
      <c r="Q67" s="3"/>
      <c r="R67" s="3">
        <f t="shared" si="18"/>
        <v>0</v>
      </c>
      <c r="S67" s="4">
        <f t="shared" si="19"/>
        <v>0</v>
      </c>
      <c r="T67" s="12">
        <f t="shared" si="20"/>
        <v>0</v>
      </c>
      <c r="U67" s="4"/>
    </row>
    <row r="68" spans="12:21" x14ac:dyDescent="0.25">
      <c r="L68" s="1"/>
      <c r="M68" s="2"/>
      <c r="N68" s="2"/>
      <c r="O68" s="2"/>
      <c r="P68" s="2"/>
      <c r="Q68" s="3"/>
      <c r="R68" s="3">
        <f t="shared" si="18"/>
        <v>0</v>
      </c>
      <c r="S68" s="4">
        <f t="shared" si="19"/>
        <v>0</v>
      </c>
      <c r="T68" s="12">
        <f t="shared" si="20"/>
        <v>0</v>
      </c>
      <c r="U68" s="4"/>
    </row>
    <row r="69" spans="12:21" x14ac:dyDescent="0.25">
      <c r="L69" s="1"/>
      <c r="M69" s="2"/>
      <c r="N69" s="2"/>
      <c r="O69" s="2"/>
      <c r="P69" s="2"/>
      <c r="Q69" s="3"/>
      <c r="R69" s="3">
        <f t="shared" si="18"/>
        <v>0</v>
      </c>
      <c r="S69" s="4">
        <f t="shared" si="19"/>
        <v>0</v>
      </c>
      <c r="T69" s="12">
        <f t="shared" si="20"/>
        <v>0</v>
      </c>
      <c r="U69" s="4"/>
    </row>
  </sheetData>
  <mergeCells count="59">
    <mergeCell ref="S20:S21"/>
    <mergeCell ref="T20:T21"/>
    <mergeCell ref="U20:U21"/>
    <mergeCell ref="L22:L23"/>
    <mergeCell ref="M22:M23"/>
    <mergeCell ref="N22:N23"/>
    <mergeCell ref="S22:S23"/>
    <mergeCell ref="T22:T23"/>
    <mergeCell ref="U22:U23"/>
    <mergeCell ref="A56:J56"/>
    <mergeCell ref="L63:U63"/>
    <mergeCell ref="L6:L7"/>
    <mergeCell ref="M6:M7"/>
    <mergeCell ref="N6:N7"/>
    <mergeCell ref="S6:S7"/>
    <mergeCell ref="T6:T7"/>
    <mergeCell ref="U6:U7"/>
    <mergeCell ref="L16:L17"/>
    <mergeCell ref="M16:M17"/>
    <mergeCell ref="N16:N17"/>
    <mergeCell ref="S16:S17"/>
    <mergeCell ref="T16:T17"/>
    <mergeCell ref="U16:U17"/>
    <mergeCell ref="L20:L21"/>
    <mergeCell ref="M20:M21"/>
    <mergeCell ref="W1:AF1"/>
    <mergeCell ref="N20:N21"/>
    <mergeCell ref="A10:A11"/>
    <mergeCell ref="B10:B11"/>
    <mergeCell ref="C10:C11"/>
    <mergeCell ref="H10:H11"/>
    <mergeCell ref="I10:I11"/>
    <mergeCell ref="J10:J11"/>
    <mergeCell ref="A1:J1"/>
    <mergeCell ref="L1:U1"/>
    <mergeCell ref="L10:L11"/>
    <mergeCell ref="M10:M11"/>
    <mergeCell ref="N10:N11"/>
    <mergeCell ref="S10:S11"/>
    <mergeCell ref="T10:T11"/>
    <mergeCell ref="U10:U11"/>
    <mergeCell ref="U34:U35"/>
    <mergeCell ref="L39:L40"/>
    <mergeCell ref="M39:M40"/>
    <mergeCell ref="N39:N40"/>
    <mergeCell ref="S39:S40"/>
    <mergeCell ref="T39:T40"/>
    <mergeCell ref="U39:U40"/>
    <mergeCell ref="L34:L35"/>
    <mergeCell ref="M34:M35"/>
    <mergeCell ref="N34:N35"/>
    <mergeCell ref="S34:S35"/>
    <mergeCell ref="T34:T35"/>
    <mergeCell ref="U43:U44"/>
    <mergeCell ref="L43:L44"/>
    <mergeCell ref="M43:M44"/>
    <mergeCell ref="N43:N44"/>
    <mergeCell ref="S43:S44"/>
    <mergeCell ref="T43:T44"/>
  </mergeCells>
  <phoneticPr fontId="4" type="noConversion"/>
  <printOptions horizontalCentered="1" verticalCentered="1"/>
  <pageMargins left="0" right="0" top="0.15748031496062992" bottom="0.15748031496062992" header="0" footer="0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空白表格</vt:lpstr>
      <vt:lpstr>1112</vt:lpstr>
      <vt:lpstr>0910</vt:lpstr>
      <vt:lpstr>0708</vt:lpstr>
      <vt:lpstr>0506</vt:lpstr>
      <vt:lpstr>0304</vt:lpstr>
      <vt:lpstr>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陳 翊忻</cp:lastModifiedBy>
  <cp:lastPrinted>2025-12-26T16:15:27Z</cp:lastPrinted>
  <dcterms:created xsi:type="dcterms:W3CDTF">2018-07-30T02:44:44Z</dcterms:created>
  <dcterms:modified xsi:type="dcterms:W3CDTF">2025-12-26T16:17:15Z</dcterms:modified>
</cp:coreProperties>
</file>